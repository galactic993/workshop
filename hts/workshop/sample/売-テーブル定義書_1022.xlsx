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clat\Downloads\"/>
    </mc:Choice>
  </mc:AlternateContent>
  <xr:revisionPtr revIDLastSave="0" documentId="13_ncr:1_{27D62509-12A3-4ECE-BF93-EB3A2B892468}" xr6:coauthVersionLast="47" xr6:coauthVersionMax="47" xr10:uidLastSave="{00000000-0000-0000-0000-000000000000}"/>
  <bookViews>
    <workbookView xWindow="-28920" yWindow="-120" windowWidth="29040" windowHeight="15720" tabRatio="860" xr2:uid="{00000000-000D-0000-FFFF-FFFF00000000}"/>
  </bookViews>
  <sheets>
    <sheet name="表紙" sheetId="1" r:id="rId1"/>
    <sheet name="変更履歴" sheetId="2" r:id="rId2"/>
    <sheet name="テーブル一覧" sheetId="3" r:id="rId3"/>
    <sheet name="◆部署別得意先" sheetId="4" r:id="rId4"/>
    <sheet name="見積" sheetId="5" r:id="rId5"/>
    <sheet name="見積書発行履歴" sheetId="6" r:id="rId6"/>
    <sheet name="作業部門別見積" sheetId="44" r:id="rId7"/>
    <sheet name="受注" sheetId="7" r:id="rId8"/>
    <sheet name="作業部門別受注金額" sheetId="8" r:id="rId9"/>
    <sheet name="◆工番関連" sheetId="9" r:id="rId10"/>
    <sheet name="部署別受注計画" sheetId="10" r:id="rId11"/>
    <sheet name="部署別売上計画" sheetId="43" r:id="rId12"/>
    <sheet name="受注週報集計明細" sheetId="11" r:id="rId13"/>
    <sheet name="受注週報集計累計" sheetId="12" r:id="rId14"/>
    <sheet name="作業手配" sheetId="13" r:id="rId15"/>
    <sheet name="社内受注管理" sheetId="14" r:id="rId16"/>
    <sheet name="社内売上管理" sheetId="15" r:id="rId17"/>
    <sheet name="社内仕入履歴" sheetId="16" r:id="rId18"/>
    <sheet name="作業部門別基準価格" sheetId="17" r:id="rId19"/>
    <sheet name="製品発送費基準価格" sheetId="18" r:id="rId20"/>
    <sheet name="作業部門別売上" sheetId="19" r:id="rId21"/>
    <sheet name="製品発送費売上" sheetId="20" r:id="rId22"/>
    <sheet name="諸経費売上" sheetId="21" r:id="rId23"/>
    <sheet name="営業部署別売上" sheetId="22" r:id="rId24"/>
    <sheet name="担当者別売上" sheetId="23" r:id="rId25"/>
    <sheet name="売掛金" sheetId="24" r:id="rId26"/>
    <sheet name="前受金" sheetId="25" r:id="rId27"/>
    <sheet name="得意先別前受金残高" sheetId="26" r:id="rId28"/>
    <sheet name="得意先別前受金消込履歴" sheetId="27" r:id="rId29"/>
    <sheet name="納品" sheetId="28" r:id="rId30"/>
    <sheet name="納品明細" sheetId="29" r:id="rId31"/>
    <sheet name="納品書発行履歴" sheetId="30" r:id="rId32"/>
    <sheet name="納品書データ出力履歴" sheetId="31" r:id="rId33"/>
    <sheet name="請求" sheetId="32" r:id="rId34"/>
    <sheet name="請求明細" sheetId="33" r:id="rId35"/>
    <sheet name="請求書発行履歴" sheetId="34" r:id="rId36"/>
    <sheet name="得意先別発送費" sheetId="35" r:id="rId37"/>
    <sheet name="得意先別発送費更新履歴" sheetId="36" r:id="rId38"/>
    <sheet name="月次処理日データ" sheetId="37" r:id="rId39"/>
    <sheet name="製品在庫金額集計" sheetId="39" r:id="rId40"/>
    <sheet name="仕掛在庫金額" sheetId="40" r:id="rId41"/>
    <sheet name="計画値取込" sheetId="41" r:id="rId42"/>
    <sheet name="得意先別倉庫料" sheetId="42" r:id="rId43"/>
    <sheet name="月別発送費" sheetId="45" r:id="rId44"/>
  </sheets>
  <definedNames>
    <definedName name="_xlnm.Print_Area" localSheetId="9">◆工番関連!$A$1:$BF$11</definedName>
    <definedName name="_xlnm.Print_Area" localSheetId="3">◆部署別得意先!$A$1:$BF$12</definedName>
    <definedName name="_xlnm.Print_Area" localSheetId="2">テーブル一覧!$A$1:$BF$46</definedName>
    <definedName name="_xlnm.Print_Area" localSheetId="23">営業部署別売上!$A$1:$BF$15</definedName>
    <definedName name="_xlnm.Print_Area" localSheetId="41">計画値取込!$A$1:$BF$10</definedName>
    <definedName name="_xlnm.Print_Area" localSheetId="38">月次処理日データ!$A$1:$BF$9</definedName>
    <definedName name="_xlnm.Print_Area" localSheetId="43">月別発送費!$A$1:$BF$14</definedName>
    <definedName name="_xlnm.Print_Area" localSheetId="4">見積!$A$1:$BF$57</definedName>
    <definedName name="_xlnm.Print_Area" localSheetId="5">見積書発行履歴!$A$1:$BF$12</definedName>
    <definedName name="_xlnm.Print_Area" localSheetId="14">作業手配!$A$1:$BF$16</definedName>
    <definedName name="_xlnm.Print_Area" localSheetId="18">作業部門別基準価格!$A$1:$BF$14</definedName>
    <definedName name="_xlnm.Print_Area" localSheetId="6">作業部門別見積!$A$1:$BF$13</definedName>
    <definedName name="_xlnm.Print_Area" localSheetId="8">作業部門別受注金額!$A$1:$BF$15</definedName>
    <definedName name="_xlnm.Print_Area" localSheetId="20">作業部門別売上!$A$1:$BF$15</definedName>
    <definedName name="_xlnm.Print_Area" localSheetId="40">仕掛在庫金額!$A$1:$BF$21</definedName>
    <definedName name="_xlnm.Print_Area" localSheetId="17">社内仕入履歴!$A$1:$BF$11</definedName>
    <definedName name="_xlnm.Print_Area" localSheetId="15">社内受注管理!$A$1:$BF$12</definedName>
    <definedName name="_xlnm.Print_Area" localSheetId="16">社内売上管理!$A$1:$BF$14</definedName>
    <definedName name="_xlnm.Print_Area" localSheetId="7">受注!$A$1:$BF$55</definedName>
    <definedName name="_xlnm.Print_Area" localSheetId="12">受注週報集計明細!$A$1:$BE$42</definedName>
    <definedName name="_xlnm.Print_Area" localSheetId="13">受注週報集計累計!$A$1:$BF$48</definedName>
    <definedName name="_xlnm.Print_Area" localSheetId="22">諸経費売上!$A$1:$BF$12</definedName>
    <definedName name="_xlnm.Print_Area" localSheetId="39">製品在庫金額集計!$A$1:$BF$34</definedName>
    <definedName name="_xlnm.Print_Area" localSheetId="19">製品発送費基準価格!$A$1:$BF$13</definedName>
    <definedName name="_xlnm.Print_Area" localSheetId="21">製品発送費売上!$A$1:$BF$14</definedName>
    <definedName name="_xlnm.Print_Area" localSheetId="33">請求!$A$1:$BF$10</definedName>
    <definedName name="_xlnm.Print_Area" localSheetId="35">請求書発行履歴!$A$1:$BF$14</definedName>
    <definedName name="_xlnm.Print_Area" localSheetId="34">請求明細!$A$1:$BF$18</definedName>
    <definedName name="_xlnm.Print_Area" localSheetId="26">前受金!$A$1:$BF$12</definedName>
    <definedName name="_xlnm.Print_Area" localSheetId="24">担当者別売上!$A$1:$BF$13</definedName>
    <definedName name="_xlnm.Print_Area" localSheetId="27">得意先別前受金残高!$A$1:$BF$11</definedName>
    <definedName name="_xlnm.Print_Area" localSheetId="28">得意先別前受金消込履歴!$A$1:$BF$12</definedName>
    <definedName name="_xlnm.Print_Area" localSheetId="42">得意先別倉庫料!$A$1:$BF$15</definedName>
    <definedName name="_xlnm.Print_Area" localSheetId="36">得意先別発送費!$A$1:$BF$15</definedName>
    <definedName name="_xlnm.Print_Area" localSheetId="37">得意先別発送費更新履歴!$A$1:$BF$11</definedName>
    <definedName name="_xlnm.Print_Area" localSheetId="29">納品!$A$1:$BF$10</definedName>
    <definedName name="_xlnm.Print_Area" localSheetId="32">納品書データ出力履歴!$A$1:$BF$14</definedName>
    <definedName name="_xlnm.Print_Area" localSheetId="31">納品書発行履歴!$A$1:$BF$14</definedName>
    <definedName name="_xlnm.Print_Area" localSheetId="30">納品明細!$A$1:$BF$18</definedName>
    <definedName name="_xlnm.Print_Area" localSheetId="25">売掛金!$A$1:$BF$17</definedName>
    <definedName name="_xlnm.Print_Area" localSheetId="0">表紙!$A$1:$BF$22</definedName>
    <definedName name="_xlnm.Print_Area" localSheetId="10">部署別受注計画!$A$1:$BF$15</definedName>
    <definedName name="_xlnm.Print_Area" localSheetId="11">部署別売上計画!$A$1:$BF$15</definedName>
    <definedName name="_xlnm.Print_Area" localSheetId="1">変更履歴!$A$1:$BF$317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5" roundtripDataChecksum="ZYSDad1sdtKKpmI9NG42SK3irDuNR3zWtt00xIDswy8="/>
    </ext>
  </extLst>
</workbook>
</file>

<file path=xl/calcChain.xml><?xml version="1.0" encoding="utf-8"?>
<calcChain xmlns="http://schemas.openxmlformats.org/spreadsheetml/2006/main">
  <c r="AA46" i="3" l="1"/>
  <c r="B46" i="3"/>
  <c r="B18" i="39"/>
  <c r="B15" i="39"/>
  <c r="B14" i="39"/>
  <c r="B13" i="39"/>
  <c r="B12" i="39"/>
  <c r="B11" i="39"/>
  <c r="B10" i="39"/>
  <c r="B13" i="45"/>
  <c r="B12" i="45"/>
  <c r="B11" i="45"/>
  <c r="B10" i="45"/>
  <c r="B9" i="45"/>
  <c r="B8" i="45"/>
  <c r="B7" i="45"/>
  <c r="B6" i="45"/>
  <c r="B28" i="5"/>
  <c r="B25" i="5"/>
  <c r="B9" i="44"/>
  <c r="B9" i="5"/>
  <c r="B21" i="5"/>
  <c r="B16" i="5"/>
  <c r="B11" i="42"/>
  <c r="B7" i="42"/>
  <c r="B8" i="42"/>
  <c r="B9" i="42"/>
  <c r="B10" i="42"/>
  <c r="B12" i="42"/>
  <c r="B13" i="42"/>
  <c r="B14" i="42"/>
  <c r="B7" i="41"/>
  <c r="B8" i="41"/>
  <c r="B9" i="41"/>
  <c r="B6" i="41"/>
  <c r="B7" i="40"/>
  <c r="B8" i="40"/>
  <c r="B9" i="40"/>
  <c r="B10" i="40"/>
  <c r="B11" i="40"/>
  <c r="B12" i="40"/>
  <c r="B13" i="40"/>
  <c r="B14" i="40"/>
  <c r="B7" i="39"/>
  <c r="B8" i="39"/>
  <c r="B9" i="39"/>
  <c r="B16" i="39"/>
  <c r="B17" i="39"/>
  <c r="B19" i="39"/>
  <c r="B20" i="39"/>
  <c r="B21" i="39"/>
  <c r="B22" i="39"/>
  <c r="B7" i="37"/>
  <c r="B8" i="37"/>
  <c r="B7" i="36"/>
  <c r="B8" i="36"/>
  <c r="B9" i="36"/>
  <c r="B10" i="36"/>
  <c r="B11" i="35"/>
  <c r="B7" i="35"/>
  <c r="B8" i="35"/>
  <c r="B9" i="35"/>
  <c r="B10" i="35"/>
  <c r="B12" i="35"/>
  <c r="B13" i="35"/>
  <c r="B14" i="35"/>
  <c r="B7" i="34"/>
  <c r="B8" i="34"/>
  <c r="B9" i="34"/>
  <c r="B10" i="34"/>
  <c r="B11" i="34"/>
  <c r="B12" i="34"/>
  <c r="B13" i="34"/>
  <c r="B7" i="33"/>
  <c r="B8" i="33"/>
  <c r="B9" i="33"/>
  <c r="B10" i="33"/>
  <c r="B11" i="33"/>
  <c r="B12" i="33"/>
  <c r="B13" i="33"/>
  <c r="B14" i="33"/>
  <c r="B15" i="33"/>
  <c r="B16" i="33"/>
  <c r="B17" i="33"/>
  <c r="B7" i="32"/>
  <c r="B8" i="32"/>
  <c r="B9" i="32"/>
  <c r="B7" i="31"/>
  <c r="B8" i="31"/>
  <c r="B9" i="31"/>
  <c r="B10" i="31"/>
  <c r="B11" i="31"/>
  <c r="B12" i="31"/>
  <c r="B13" i="31"/>
  <c r="B7" i="30"/>
  <c r="B8" i="30"/>
  <c r="B9" i="30"/>
  <c r="B10" i="30"/>
  <c r="B11" i="30"/>
  <c r="B12" i="30"/>
  <c r="B13" i="30"/>
  <c r="B7" i="29"/>
  <c r="B8" i="29"/>
  <c r="B9" i="29"/>
  <c r="B10" i="29"/>
  <c r="B11" i="29"/>
  <c r="B12" i="29"/>
  <c r="B13" i="29"/>
  <c r="B14" i="29"/>
  <c r="B15" i="29"/>
  <c r="B16" i="29"/>
  <c r="B17" i="29"/>
  <c r="B7" i="28"/>
  <c r="B8" i="28"/>
  <c r="B9" i="28"/>
  <c r="B7" i="27"/>
  <c r="B8" i="27"/>
  <c r="B9" i="27"/>
  <c r="B10" i="27"/>
  <c r="B11" i="27"/>
  <c r="B7" i="26"/>
  <c r="B8" i="26"/>
  <c r="B9" i="26"/>
  <c r="B10" i="26"/>
  <c r="B7" i="25"/>
  <c r="B8" i="25"/>
  <c r="B9" i="25"/>
  <c r="B10" i="25"/>
  <c r="B11" i="25"/>
  <c r="B7" i="24"/>
  <c r="B8" i="24"/>
  <c r="B9" i="24"/>
  <c r="B10" i="24"/>
  <c r="B11" i="24"/>
  <c r="B12" i="24"/>
  <c r="B13" i="24"/>
  <c r="B14" i="24"/>
  <c r="B15" i="24"/>
  <c r="B16" i="24"/>
  <c r="B7" i="23"/>
  <c r="B8" i="23"/>
  <c r="B9" i="23"/>
  <c r="B10" i="23"/>
  <c r="B11" i="23"/>
  <c r="B12" i="23"/>
  <c r="B7" i="22"/>
  <c r="B8" i="22"/>
  <c r="B9" i="22"/>
  <c r="B10" i="22"/>
  <c r="B11" i="22"/>
  <c r="B12" i="22"/>
  <c r="B13" i="22"/>
  <c r="B14" i="22"/>
  <c r="B7" i="21"/>
  <c r="B8" i="21"/>
  <c r="B9" i="21"/>
  <c r="B10" i="21"/>
  <c r="B11" i="21"/>
  <c r="B7" i="20"/>
  <c r="B8" i="20"/>
  <c r="B9" i="20"/>
  <c r="B10" i="20"/>
  <c r="B11" i="20"/>
  <c r="B12" i="20"/>
  <c r="B7" i="19"/>
  <c r="B8" i="19"/>
  <c r="B9" i="19"/>
  <c r="B10" i="19"/>
  <c r="B11" i="19"/>
  <c r="B12" i="19"/>
  <c r="B13" i="19"/>
  <c r="B14" i="19"/>
  <c r="B7" i="18"/>
  <c r="B8" i="18"/>
  <c r="B9" i="18"/>
  <c r="B10" i="18"/>
  <c r="B11" i="18"/>
  <c r="B12" i="18"/>
  <c r="B7" i="17"/>
  <c r="B8" i="17"/>
  <c r="B9" i="17"/>
  <c r="B10" i="17"/>
  <c r="B11" i="17"/>
  <c r="B12" i="17"/>
  <c r="B13" i="17"/>
  <c r="B7" i="16"/>
  <c r="B8" i="16"/>
  <c r="B9" i="16"/>
  <c r="B10" i="16"/>
  <c r="B7" i="15"/>
  <c r="B8" i="15"/>
  <c r="B9" i="15"/>
  <c r="B10" i="15"/>
  <c r="B11" i="15"/>
  <c r="B12" i="15"/>
  <c r="B13" i="15"/>
  <c r="B7" i="14"/>
  <c r="B8" i="14"/>
  <c r="B9" i="14"/>
  <c r="B10" i="14"/>
  <c r="B11" i="14"/>
  <c r="B7" i="13"/>
  <c r="B8" i="13"/>
  <c r="B9" i="13"/>
  <c r="B10" i="13"/>
  <c r="B11" i="13"/>
  <c r="B12" i="13"/>
  <c r="B13" i="13"/>
  <c r="B14" i="13"/>
  <c r="B15" i="13"/>
  <c r="B7" i="12"/>
  <c r="B8" i="12"/>
  <c r="B9" i="12"/>
  <c r="B10" i="12"/>
  <c r="B11" i="12"/>
  <c r="B12" i="12"/>
  <c r="B13" i="12"/>
  <c r="B14" i="12"/>
  <c r="B15" i="12"/>
  <c r="B16" i="12"/>
  <c r="B17" i="12"/>
  <c r="B18" i="12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7" i="43"/>
  <c r="B8" i="43"/>
  <c r="B9" i="43"/>
  <c r="B10" i="43"/>
  <c r="B11" i="43"/>
  <c r="B12" i="43"/>
  <c r="B13" i="43"/>
  <c r="B14" i="43"/>
  <c r="B7" i="10"/>
  <c r="B8" i="10"/>
  <c r="B9" i="10"/>
  <c r="B10" i="10"/>
  <c r="B11" i="10"/>
  <c r="B12" i="10"/>
  <c r="B13" i="10"/>
  <c r="B14" i="10"/>
  <c r="B7" i="9"/>
  <c r="B8" i="9"/>
  <c r="B7" i="8"/>
  <c r="B8" i="8"/>
  <c r="B9" i="8"/>
  <c r="B10" i="8"/>
  <c r="B11" i="8"/>
  <c r="B12" i="8"/>
  <c r="B13" i="8"/>
  <c r="B14" i="8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7" i="44"/>
  <c r="B8" i="44"/>
  <c r="B10" i="44"/>
  <c r="B11" i="44"/>
  <c r="B12" i="44"/>
  <c r="B7" i="6"/>
  <c r="B8" i="6"/>
  <c r="B9" i="6"/>
  <c r="B10" i="6"/>
  <c r="B11" i="6"/>
  <c r="B6" i="6"/>
  <c r="B7" i="5"/>
  <c r="B8" i="5"/>
  <c r="B10" i="5"/>
  <c r="B11" i="5"/>
  <c r="B12" i="5"/>
  <c r="B13" i="5"/>
  <c r="B14" i="5"/>
  <c r="B15" i="5"/>
  <c r="B17" i="5"/>
  <c r="B18" i="5"/>
  <c r="B19" i="5"/>
  <c r="B20" i="5"/>
  <c r="B22" i="5"/>
  <c r="B23" i="5"/>
  <c r="B24" i="5"/>
  <c r="B26" i="5"/>
  <c r="B27" i="5"/>
  <c r="B29" i="5"/>
  <c r="B30" i="5"/>
  <c r="B6" i="5"/>
  <c r="B7" i="4"/>
  <c r="B8" i="4"/>
  <c r="B9" i="4"/>
  <c r="B6" i="4"/>
  <c r="AA14" i="3"/>
  <c r="B14" i="3"/>
  <c r="B7" i="3"/>
  <c r="B8" i="3"/>
  <c r="B9" i="3"/>
  <c r="B10" i="3"/>
  <c r="B11" i="3"/>
  <c r="B12" i="3"/>
  <c r="B1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6" i="44"/>
  <c r="AA9" i="3"/>
  <c r="B6" i="43"/>
  <c r="AA45" i="3"/>
  <c r="B6" i="42"/>
  <c r="P46" i="3" a="1"/>
  <c r="P14" i="3" a="1"/>
  <c r="P45" i="3" a="1"/>
  <c r="P9" i="3" a="1"/>
  <c r="P46" i="3" l="1"/>
  <c r="P14" i="3"/>
  <c r="P9" i="3"/>
  <c r="P45" i="3"/>
  <c r="B6" i="40"/>
  <c r="B6" i="39"/>
  <c r="B6" i="37"/>
  <c r="B6" i="36"/>
  <c r="B6" i="35"/>
  <c r="B6" i="34"/>
  <c r="B6" i="33"/>
  <c r="B6" i="32"/>
  <c r="B6" i="31"/>
  <c r="B6" i="30"/>
  <c r="B6" i="29"/>
  <c r="B6" i="28"/>
  <c r="B6" i="27"/>
  <c r="B6" i="26"/>
  <c r="B6" i="25"/>
  <c r="B6" i="24"/>
  <c r="B6" i="23"/>
  <c r="B6" i="22"/>
  <c r="B6" i="21"/>
  <c r="B6" i="20"/>
  <c r="B6" i="19"/>
  <c r="B6" i="18"/>
  <c r="B6" i="17"/>
  <c r="B6" i="16"/>
  <c r="B6" i="15"/>
  <c r="B6" i="14"/>
  <c r="B6" i="13"/>
  <c r="B6" i="12"/>
  <c r="B6" i="11"/>
  <c r="B6" i="10"/>
  <c r="B6" i="9"/>
  <c r="B6" i="8"/>
  <c r="B6" i="7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3" i="3"/>
  <c r="AA12" i="3"/>
  <c r="AA11" i="3"/>
  <c r="AA10" i="3"/>
  <c r="AA8" i="3"/>
  <c r="AA7" i="3"/>
  <c r="AA6" i="3"/>
  <c r="B6" i="3"/>
  <c r="P35" i="3" a="1"/>
  <c r="P29" i="3" a="1"/>
  <c r="P42" i="3" a="1"/>
  <c r="P24" i="3" a="1"/>
  <c r="P33" i="3" a="1"/>
  <c r="P20" i="3" a="1"/>
  <c r="P10" i="3" a="1"/>
  <c r="P21" i="3" a="1"/>
  <c r="P23" i="3" a="1"/>
  <c r="P13" i="3" a="1"/>
  <c r="P44" i="3" a="1"/>
  <c r="P11" i="3" a="1"/>
  <c r="P19" i="3" a="1"/>
  <c r="P37" i="3" a="1"/>
  <c r="P36" i="3" a="1"/>
  <c r="P26" i="3" a="1"/>
  <c r="P34" i="3" a="1"/>
  <c r="P6" i="3" a="1"/>
  <c r="P7" i="3" a="1"/>
  <c r="P16" i="3" a="1"/>
  <c r="P43" i="3" a="1"/>
  <c r="P32" i="3" a="1"/>
  <c r="P31" i="3" a="1"/>
  <c r="P27" i="3" a="1"/>
  <c r="P12" i="3" a="1"/>
  <c r="P39" i="3" a="1"/>
  <c r="P40" i="3" a="1"/>
  <c r="P28" i="3" a="1"/>
  <c r="P18" i="3" a="1"/>
  <c r="P41" i="3" a="1"/>
  <c r="P30" i="3" a="1"/>
  <c r="P38" i="3" a="1"/>
  <c r="P15" i="3" a="1"/>
  <c r="P25" i="3" a="1"/>
  <c r="P17" i="3" a="1"/>
  <c r="P22" i="3" a="1"/>
  <c r="P8" i="3" a="1"/>
  <c r="P11" i="3" l="1"/>
  <c r="P7" i="3"/>
  <c r="P15" i="3"/>
  <c r="P18" i="3"/>
  <c r="P21" i="3"/>
  <c r="P24" i="3"/>
  <c r="P27" i="3"/>
  <c r="P30" i="3"/>
  <c r="P33" i="3"/>
  <c r="P36" i="3"/>
  <c r="P39" i="3"/>
  <c r="P44" i="3"/>
  <c r="P8" i="3"/>
  <c r="P12" i="3"/>
  <c r="P16" i="3"/>
  <c r="P19" i="3"/>
  <c r="P22" i="3"/>
  <c r="P25" i="3"/>
  <c r="P28" i="3"/>
  <c r="P31" i="3"/>
  <c r="P34" i="3"/>
  <c r="P37" i="3"/>
  <c r="P40" i="3"/>
  <c r="P42" i="3"/>
  <c r="P6" i="3"/>
  <c r="P10" i="3"/>
  <c r="P13" i="3"/>
  <c r="P17" i="3"/>
  <c r="P20" i="3"/>
  <c r="P23" i="3"/>
  <c r="P26" i="3"/>
  <c r="P29" i="3"/>
  <c r="P32" i="3"/>
  <c r="P35" i="3"/>
  <c r="P38" i="3"/>
  <c r="P41" i="3"/>
  <c r="P43" i="3"/>
</calcChain>
</file>

<file path=xl/sharedStrings.xml><?xml version="1.0" encoding="utf-8"?>
<sst xmlns="http://schemas.openxmlformats.org/spreadsheetml/2006/main" count="3970" uniqueCount="1090">
  <si>
    <t>システム名</t>
  </si>
  <si>
    <t>管理会計システム</t>
  </si>
  <si>
    <t>画面名</t>
  </si>
  <si>
    <t>売上管理</t>
  </si>
  <si>
    <t>作成日</t>
  </si>
  <si>
    <t>2025年10月29日</t>
  </si>
  <si>
    <t>変更日</t>
  </si>
  <si>
    <t>2025年11月18日</t>
  </si>
  <si>
    <t>区分</t>
  </si>
  <si>
    <t>種別</t>
  </si>
  <si>
    <t>表紙</t>
  </si>
  <si>
    <t>作成者</t>
  </si>
  <si>
    <t>栄　幸祐</t>
  </si>
  <si>
    <t>変更者</t>
  </si>
  <si>
    <t>井上　裕之</t>
  </si>
  <si>
    <t>テーブル定義書</t>
  </si>
  <si>
    <t>変更履歴</t>
  </si>
  <si>
    <t>No.</t>
  </si>
  <si>
    <t>Ver.</t>
  </si>
  <si>
    <t>追加</t>
  </si>
  <si>
    <t>変更</t>
  </si>
  <si>
    <t>削除</t>
  </si>
  <si>
    <t>更新日</t>
  </si>
  <si>
    <t>備考</t>
  </si>
  <si>
    <t>1</t>
  </si>
  <si>
    <t>1.0.0</t>
  </si>
  <si>
    <t>・社内仕入履歴</t>
  </si>
  <si>
    <t>・得意先</t>
  </si>
  <si>
    <t>・見積書ダウンロード履歴</t>
  </si>
  <si>
    <t>機能群ごとへの分割対応・見直し</t>
  </si>
  <si>
    <t>・製品発送費基準価格</t>
  </si>
  <si>
    <t>・部署別得意先</t>
  </si>
  <si>
    <t>追加は変更なし・新規追加のもの</t>
  </si>
  <si>
    <t>・製品発送費売上</t>
  </si>
  <si>
    <t>・業種</t>
  </si>
  <si>
    <t>変更は見直しの結果、修正が発生したもの</t>
  </si>
  <si>
    <t>・諸経費売上</t>
  </si>
  <si>
    <t>・得意先グループ</t>
  </si>
  <si>
    <t>削除は見直しの結果、削除となったもの</t>
  </si>
  <si>
    <t>・売掛金</t>
  </si>
  <si>
    <t>・会社団体</t>
  </si>
  <si>
    <t>・前受金</t>
  </si>
  <si>
    <t>・お知らせ</t>
  </si>
  <si>
    <t>・得意先別前受金残高</t>
  </si>
  <si>
    <t>・システム設定</t>
  </si>
  <si>
    <t>・得意先別前受金消込履歴</t>
  </si>
  <si>
    <t>・見積</t>
  </si>
  <si>
    <t>・消費税率</t>
  </si>
  <si>
    <t>・見積書</t>
  </si>
  <si>
    <t>・納品</t>
  </si>
  <si>
    <t>・受注</t>
  </si>
  <si>
    <t>・納品明細</t>
  </si>
  <si>
    <t>・作業部門別受注金額</t>
  </si>
  <si>
    <t>・納品書発行履歴</t>
  </si>
  <si>
    <t>・作業部門</t>
  </si>
  <si>
    <t>・納品書データ出力履歴</t>
  </si>
  <si>
    <t>・請求</t>
  </si>
  <si>
    <t>・工番関連</t>
  </si>
  <si>
    <t>・請求明細</t>
  </si>
  <si>
    <t>・部署別受注計画</t>
  </si>
  <si>
    <t>・請求書発行履歴</t>
  </si>
  <si>
    <t>・受注週報集計明細</t>
  </si>
  <si>
    <t>・押印欄管理</t>
  </si>
  <si>
    <t>・受注週報明細累計</t>
  </si>
  <si>
    <t>・作業手配</t>
  </si>
  <si>
    <t>・社内受注管理</t>
  </si>
  <si>
    <t>・社内売上管理</t>
  </si>
  <si>
    <t>・作業部門別基準価格</t>
  </si>
  <si>
    <t>・作業部門別売上</t>
  </si>
  <si>
    <t>・営業部署別売上</t>
  </si>
  <si>
    <t>・担当者別売上</t>
  </si>
  <si>
    <t>・得意先別発送費</t>
  </si>
  <si>
    <t>・得意先別発送費更新履歴</t>
  </si>
  <si>
    <t>・製品在庫</t>
  </si>
  <si>
    <t>・製品在庫金額集計</t>
  </si>
  <si>
    <t>・仕掛在庫</t>
  </si>
  <si>
    <t>・長期仕掛在庫</t>
  </si>
  <si>
    <t>・計画値取込</t>
  </si>
  <si>
    <t>2</t>
  </si>
  <si>
    <t>1.0.1</t>
  </si>
  <si>
    <t>・得意先マスタ</t>
  </si>
  <si>
    <t>2025年11月5日</t>
  </si>
  <si>
    <t>組織関連テーブル見直し</t>
  </si>
  <si>
    <t>・◆部署別得意先</t>
  </si>
  <si>
    <t>テーブル論理名見直し</t>
  </si>
  <si>
    <t>・業種マスタ</t>
  </si>
  <si>
    <t>お知らせ、システム設定、押印欄管理は共通へ移動</t>
  </si>
  <si>
    <t>・得意先グループマスタ</t>
  </si>
  <si>
    <t>・会社団体マスタ</t>
  </si>
  <si>
    <t>・作業部門マスタ</t>
  </si>
  <si>
    <t>・◆工番関連</t>
  </si>
  <si>
    <t>・受注週報集計累計</t>
  </si>
  <si>
    <t>・得意先別発送費金額履歴</t>
  </si>
  <si>
    <t>・製品在庫金額</t>
  </si>
  <si>
    <t>・仕掛在庫金額</t>
  </si>
  <si>
    <t>・長期仕掛在庫金額</t>
  </si>
  <si>
    <t>3</t>
  </si>
  <si>
    <t>1.0.2</t>
  </si>
  <si>
    <t>木島　彩梨沙</t>
  </si>
  <si>
    <t>2025年11月7日</t>
  </si>
  <si>
    <t>得意先コードの桁数を5桁に修正</t>
  </si>
  <si>
    <t>得意先マスタidをUKに修正</t>
  </si>
  <si>
    <t>4</t>
  </si>
  <si>
    <t>1.0.3</t>
  </si>
  <si>
    <t>詳細設計チェック表対応（一部マスタの共通への移動）</t>
  </si>
  <si>
    <t>詳細設計チェック表対応（更新日カラム追加）</t>
  </si>
  <si>
    <t>テーブル見直し</t>
  </si>
  <si>
    <t>詳細設計チェック表対応(enum廃止)</t>
  </si>
  <si>
    <t>・消費税率マスタ</t>
  </si>
  <si>
    <t>1.0.4</t>
  </si>
  <si>
    <t>・月次処理日データ</t>
  </si>
  <si>
    <t>月次処理日データテーブル追加</t>
  </si>
  <si>
    <t>得意先別発送費、履歴のテーブル名修正</t>
  </si>
  <si>
    <t>長期仕掛在庫金額テーブルの削除</t>
  </si>
  <si>
    <t>テーブル一覧</t>
  </si>
  <si>
    <t>論理名</t>
  </si>
  <si>
    <t>物理名</t>
  </si>
  <si>
    <t>概要</t>
  </si>
  <si>
    <t>◆部署別得意先</t>
  </si>
  <si>
    <t>センター部署と得意先の関連付けを行う中間テーブル</t>
  </si>
  <si>
    <t>見積</t>
  </si>
  <si>
    <t>見積情報を管理するテーブル</t>
  </si>
  <si>
    <t>受注</t>
  </si>
  <si>
    <t>受注情報を管理するテーブル</t>
  </si>
  <si>
    <t>作業部門別受注金額</t>
  </si>
  <si>
    <t>◆工番関連</t>
  </si>
  <si>
    <t>代表工番と関連工番の関連付けを行う中間テーブル</t>
  </si>
  <si>
    <t>部署別受注計画</t>
  </si>
  <si>
    <t>計画値取込で取込を行った部署別の受注計画値を管理するテーブル</t>
  </si>
  <si>
    <t>受注週報集計明細</t>
  </si>
  <si>
    <t>得意先別の受注週報集計値を管理するテーブル</t>
  </si>
  <si>
    <t>受注週報集計累計</t>
  </si>
  <si>
    <t>担当者別の受注週報集計値を管理するテーブル</t>
  </si>
  <si>
    <t>作業手配</t>
  </si>
  <si>
    <t>営業→主管センター、主管センター→作業部署への作業手配情報を管理するテーブル</t>
  </si>
  <si>
    <t>社内受注管理</t>
  </si>
  <si>
    <t>センター単位の作業完了状況を管理するテーブル</t>
  </si>
  <si>
    <t>社内売上管理</t>
  </si>
  <si>
    <t>受注に対する作業部署ごとの売上金額を管理するテーブル</t>
  </si>
  <si>
    <t>社内仕入履歴</t>
  </si>
  <si>
    <t>社内仕入・社内仕入取消を行った履歴を管理するテーブル</t>
  </si>
  <si>
    <t>作業部門別基準価格</t>
  </si>
  <si>
    <t>作業部門単位の基準価格を管理するテーブル</t>
  </si>
  <si>
    <t>製品発送費基準価格</t>
  </si>
  <si>
    <t>工番(受注)単位の製品発送費基準価格を管理するテーブル</t>
  </si>
  <si>
    <t>作業部門別売上</t>
  </si>
  <si>
    <t>作業部門別の計上金額を管理するテーブル</t>
  </si>
  <si>
    <t>製品発送費売上</t>
  </si>
  <si>
    <t>工番(受注)単位の製品発送費の計上金額を管理するテーブル</t>
  </si>
  <si>
    <t>諸経費売上</t>
  </si>
  <si>
    <t>工番(受注)単位の諸経費の計上金額を管理するテーブル</t>
  </si>
  <si>
    <t>営業部署別売上</t>
  </si>
  <si>
    <t>営業部署別の売上情報を管理するテーブル</t>
  </si>
  <si>
    <t>担当者別売上</t>
  </si>
  <si>
    <t>担当者別の売上情報を管理するテーブル</t>
  </si>
  <si>
    <t>売掛金</t>
  </si>
  <si>
    <t>受注ごとの売掛金情報を管理するテーブル</t>
  </si>
  <si>
    <t>前受金</t>
  </si>
  <si>
    <t>得意先から受領した前受金情報を管理するテーブル</t>
  </si>
  <si>
    <t>得意先別前受金残高</t>
  </si>
  <si>
    <t>得意先から受領した前受金残高の情報を管理するテーブル</t>
  </si>
  <si>
    <t>得意先別前受金消込履歴</t>
  </si>
  <si>
    <t>得意先から受領した前受金残高の消込情報を管理するテーブル</t>
  </si>
  <si>
    <t>納品</t>
  </si>
  <si>
    <t>納品情報を管理するテーブル</t>
  </si>
  <si>
    <t>納品明細</t>
  </si>
  <si>
    <t>納品情報の詳細を管理するテーブル</t>
  </si>
  <si>
    <t>納品書発行履歴</t>
  </si>
  <si>
    <t>納品書の発行履歴を管理するテーブル</t>
  </si>
  <si>
    <t>納品書データ出力履歴</t>
  </si>
  <si>
    <t>納品書の作成時に利用するデータの出力履歴を管理するテーブル</t>
  </si>
  <si>
    <t>請求</t>
  </si>
  <si>
    <t>請求情報を管理するテーブル</t>
  </si>
  <si>
    <t>請求明細</t>
  </si>
  <si>
    <t>請求情報の詳細を管理するテーブル</t>
  </si>
  <si>
    <t>請求書発行履歴</t>
  </si>
  <si>
    <t>請求書の発行履歴を管理するテーブル</t>
  </si>
  <si>
    <t>得意先別発送費</t>
  </si>
  <si>
    <t>得意先ごとに発生した発送費を管理するテーブル</t>
  </si>
  <si>
    <t>得意先別発送費更新履歴</t>
  </si>
  <si>
    <t>得意先ごとに発生した発送費の履歴を管理するテーブル</t>
  </si>
  <si>
    <t>月次処理日データ</t>
  </si>
  <si>
    <t>月次処理を行った年月を管理するテーブル</t>
  </si>
  <si>
    <t>製品在庫金額集計</t>
  </si>
  <si>
    <t>製品在庫の種別と金額を集計用に月別に管理するテーブル</t>
  </si>
  <si>
    <t>仕掛在庫金額</t>
  </si>
  <si>
    <t>受注ごとの仕掛中の在庫金額を管理するテーブル</t>
  </si>
  <si>
    <t>計画値取込</t>
  </si>
  <si>
    <t>計画値の取込履歴を管理するテーブル</t>
  </si>
  <si>
    <t>2025年6月6日</t>
  </si>
  <si>
    <t>データ型</t>
  </si>
  <si>
    <t>桁数</t>
  </si>
  <si>
    <t>Not Null</t>
  </si>
  <si>
    <t>PK</t>
  </si>
  <si>
    <t>UK</t>
  </si>
  <si>
    <t>FK</t>
  </si>
  <si>
    <t>Default</t>
  </si>
  <si>
    <t>部署別得意先id</t>
  </si>
  <si>
    <t>●</t>
  </si>
  <si>
    <t>自動採番</t>
  </si>
  <si>
    <t>センター部署id</t>
  </si>
  <si>
    <t>※1</t>
  </si>
  <si>
    <t>得意先id</t>
  </si>
  <si>
    <t>customer_id</t>
  </si>
  <si>
    <t>updated_at</t>
  </si>
  <si>
    <t>CURRENT_TIMESTAMP</t>
  </si>
  <si>
    <t>※1 複合ユニーク制約</t>
  </si>
  <si>
    <t>2025年7月24日</t>
  </si>
  <si>
    <t>高嶋　幸太</t>
  </si>
  <si>
    <t>見積id</t>
  </si>
  <si>
    <t>担当部署id</t>
  </si>
  <si>
    <t>担当者id</t>
  </si>
  <si>
    <t>employee_id</t>
  </si>
  <si>
    <t>見積書No</t>
  </si>
  <si>
    <t>品名</t>
  </si>
  <si>
    <t>50</t>
  </si>
  <si>
    <t>50桁以内</t>
  </si>
  <si>
    <t>見積件名</t>
  </si>
  <si>
    <t>見積概要</t>
  </si>
  <si>
    <t>主管センターid</t>
  </si>
  <si>
    <t>承認者id</t>
  </si>
  <si>
    <t>approved_by</t>
  </si>
  <si>
    <t>承認日時</t>
  </si>
  <si>
    <t>approved_at</t>
  </si>
  <si>
    <t>ステータス</t>
  </si>
  <si>
    <t>status</t>
  </si>
  <si>
    <t>00:登録済</t>
  </si>
  <si>
    <t>見積金額</t>
  </si>
  <si>
    <t>12</t>
  </si>
  <si>
    <t>12桁以内, 少数なし</t>
  </si>
  <si>
    <t>提出方法</t>
  </si>
  <si>
    <t>submission_method</t>
  </si>
  <si>
    <t>見積日</t>
  </si>
  <si>
    <t>見積結果</t>
  </si>
  <si>
    <t>00:未確定</t>
  </si>
  <si>
    <t>半角数字2桁
00:未確定,
10:受注,
20:失注</t>
  </si>
  <si>
    <t>失注理由</t>
  </si>
  <si>
    <t>lost_reason</t>
  </si>
  <si>
    <t>created_at</t>
  </si>
  <si>
    <t>CURRENT TIME STAMP</t>
  </si>
  <si>
    <t>★ステータスについて</t>
  </si>
  <si>
    <t>発行日時</t>
  </si>
  <si>
    <t>issued_at</t>
  </si>
  <si>
    <t>発行者id</t>
  </si>
  <si>
    <t>issued_by</t>
  </si>
  <si>
    <t>ファイル名</t>
  </si>
  <si>
    <t>file_name</t>
  </si>
  <si>
    <t>255</t>
  </si>
  <si>
    <t>255桁以内</t>
  </si>
  <si>
    <t>ファイルパス</t>
  </si>
  <si>
    <t>file_path</t>
  </si>
  <si>
    <t>1000</t>
  </si>
  <si>
    <t>1000桁以内</t>
  </si>
  <si>
    <t>2025年6月9日</t>
  </si>
  <si>
    <t>受注id</t>
  </si>
  <si>
    <t>年号</t>
  </si>
  <si>
    <t>2桁　年号-通番で工番として使用</t>
  </si>
  <si>
    <t>5</t>
  </si>
  <si>
    <t>5桁　年号-通番で工番として使用</t>
  </si>
  <si>
    <t>受注部署id</t>
  </si>
  <si>
    <t>正式品名</t>
  </si>
  <si>
    <t>品名コード</t>
  </si>
  <si>
    <t>10</t>
  </si>
  <si>
    <t>10桁以内</t>
  </si>
  <si>
    <t>サイズ</t>
  </si>
  <si>
    <t>size</t>
  </si>
  <si>
    <t>数量</t>
  </si>
  <si>
    <t>quantity</t>
  </si>
  <si>
    <t>受注日</t>
  </si>
  <si>
    <t>製品納期</t>
  </si>
  <si>
    <t>最終完了日</t>
  </si>
  <si>
    <t>社内仕入時に更新</t>
  </si>
  <si>
    <t>受注区分</t>
  </si>
  <si>
    <t>orders_category</t>
  </si>
  <si>
    <t>00:通常</t>
  </si>
  <si>
    <t>半角数字2桁
00:通常,
10:見込,
20:事前生産,
30:セット製品,
40:発送作業</t>
  </si>
  <si>
    <t>売上区分</t>
  </si>
  <si>
    <t>sales_category</t>
  </si>
  <si>
    <t>半角数字2桁
00:通常,
10:見込,
20:概算</t>
  </si>
  <si>
    <t>売上状況</t>
  </si>
  <si>
    <t>sales_status</t>
  </si>
  <si>
    <t>00:未売上</t>
  </si>
  <si>
    <t>半角数字2桁
00:未売上,
10:一部売上済,
20:売上済</t>
  </si>
  <si>
    <t>発注書番号</t>
  </si>
  <si>
    <t>20</t>
  </si>
  <si>
    <t>20桁以内</t>
  </si>
  <si>
    <t>発注書番号承認区分</t>
  </si>
  <si>
    <t>is_approved</t>
  </si>
  <si>
    <t>品名（略称）</t>
  </si>
  <si>
    <t>初校納期</t>
  </si>
  <si>
    <t>再校納期</t>
  </si>
  <si>
    <t>三校納期</t>
  </si>
  <si>
    <t>原稿枚数</t>
  </si>
  <si>
    <t>manuscript_pages</t>
  </si>
  <si>
    <t>支給写真枚数</t>
  </si>
  <si>
    <t>is_work_category1</t>
  </si>
  <si>
    <t>is_work_category2</t>
  </si>
  <si>
    <t>is_work_category3</t>
  </si>
  <si>
    <t>is_work_category4</t>
  </si>
  <si>
    <t>is_work_category5</t>
  </si>
  <si>
    <t>is_work_category6</t>
  </si>
  <si>
    <t>is_personal_data</t>
  </si>
  <si>
    <t>is_confidential_data</t>
  </si>
  <si>
    <t>is_retention_required</t>
  </si>
  <si>
    <t>主管担当者id</t>
  </si>
  <si>
    <t>person_in_charge_id</t>
  </si>
  <si>
    <t>伝達事項</t>
  </si>
  <si>
    <t>communication_note</t>
  </si>
  <si>
    <t>売上完了日</t>
  </si>
  <si>
    <t>売上登録時に更新（売上完了時）</t>
  </si>
  <si>
    <t>00:工番発行済</t>
  </si>
  <si>
    <t>作業部門別受注金額id</t>
  </si>
  <si>
    <t>order_id</t>
  </si>
  <si>
    <t>作業部門id</t>
  </si>
  <si>
    <t>受注金額</t>
  </si>
  <si>
    <t>12桁以内,少数なし　最終受注金額</t>
  </si>
  <si>
    <t>12桁以内,少数なし</t>
  </si>
  <si>
    <t>初回受注金額</t>
  </si>
  <si>
    <t>代表工番id</t>
  </si>
  <si>
    <t>parent_order_id</t>
  </si>
  <si>
    <t>関連工番id</t>
  </si>
  <si>
    <t>related_order_id</t>
  </si>
  <si>
    <t>2025年6月19日</t>
  </si>
  <si>
    <t>部署別受注計画id</t>
  </si>
  <si>
    <t>年月</t>
  </si>
  <si>
    <t>year_month</t>
  </si>
  <si>
    <t>受注金額計画値</t>
  </si>
  <si>
    <t>差益率計画値</t>
  </si>
  <si>
    <t>4桁以内,少数第一位まで</t>
  </si>
  <si>
    <t>受注週報集計明細id</t>
  </si>
  <si>
    <t>売上見込</t>
  </si>
  <si>
    <t>12桁以内,少数なし　*1</t>
  </si>
  <si>
    <t>受注残見込</t>
  </si>
  <si>
    <t>12桁以内,少数なし　*2</t>
  </si>
  <si>
    <t>受注実績</t>
  </si>
  <si>
    <t>actual_orders</t>
  </si>
  <si>
    <t>12桁以内,少数なし　*3</t>
  </si>
  <si>
    <t>受注目標</t>
  </si>
  <si>
    <t>order_target</t>
  </si>
  <si>
    <t>12桁以内,少数なし　*4</t>
  </si>
  <si>
    <t>基準価格</t>
  </si>
  <si>
    <t>12桁以内,少数なし　*5</t>
  </si>
  <si>
    <t>差益高</t>
  </si>
  <si>
    <t>12桁以内,少数なし　*6</t>
  </si>
  <si>
    <t>前年受注実績</t>
  </si>
  <si>
    <t>actual_orders_last_year</t>
  </si>
  <si>
    <t>12桁以内,少数なし　*7</t>
  </si>
  <si>
    <t>前年基準価格</t>
  </si>
  <si>
    <t>12桁以内,少数なし　*8</t>
  </si>
  <si>
    <t>*1：売上見込</t>
  </si>
  <si>
    <t>作業部門別売上.売上金額</t>
  </si>
  <si>
    <t>*2：受注残見込</t>
  </si>
  <si>
    <t>受注金額合計-売上済受注金額合計</t>
  </si>
  <si>
    <t>*3：受注実績</t>
  </si>
  <si>
    <t>作業部門別受注金額.受注金額</t>
  </si>
  <si>
    <t>*4：受注目標</t>
  </si>
  <si>
    <t>(部署別受注計画.受注金額計画値*1000)/営業日数*稼働日数</t>
  </si>
  <si>
    <t>*5：基準価格</t>
  </si>
  <si>
    <t>作業部門別受注金額.基準価格</t>
  </si>
  <si>
    <t>*6：差益高</t>
  </si>
  <si>
    <t>(部署別受注計画.受注金額計画値*部署別受注計画.差益率/100)/営業日数*稼働日数</t>
  </si>
  <si>
    <t>*7：前年受注実績</t>
  </si>
  <si>
    <t>作業部門別受注金額.受注金額/営業日数*稼働日数</t>
  </si>
  <si>
    <t>→前年同月の作業部門別受注金額.受注金額</t>
  </si>
  <si>
    <t>*8：前年基準価格</t>
  </si>
  <si>
    <t>作業部門別受注金額.基準価格/営業日数*稼働日数</t>
  </si>
  <si>
    <t>→前年同月の作業部門別受注金額.基準価格</t>
  </si>
  <si>
    <t>営業日数：当月の日数</t>
  </si>
  <si>
    <t>稼働日数：1日から画面で指定した年月日までの日数</t>
  </si>
  <si>
    <t>受注週報集計累計id</t>
  </si>
  <si>
    <t>・指定年月の前月まで</t>
  </si>
  <si>
    <t>→部署別受注計画.受注金額計画値</t>
  </si>
  <si>
    <t>・指定年月</t>
  </si>
  <si>
    <t>→部署別受注計画.受注金額計画値/営業日数*稼働日数</t>
  </si>
  <si>
    <t>部署別受注計画.受注金額計画値*部署別受注計画.差益率/100</t>
  </si>
  <si>
    <t>・前年の指定年月の前月まで</t>
  </si>
  <si>
    <t>→作業部門別受注金額.受注金額</t>
  </si>
  <si>
    <t>・前年の同月</t>
  </si>
  <si>
    <t>→作業部門別受注金額.受注金額/営業日数*稼働日数</t>
  </si>
  <si>
    <t>→作業部門別受注金額.基準価格</t>
  </si>
  <si>
    <t>→作業部門別受注金額.基準価格/営業日数*稼働日数</t>
  </si>
  <si>
    <t>2025年6月17日</t>
  </si>
  <si>
    <t>作業手配id</t>
  </si>
  <si>
    <t>手配元部署id</t>
  </si>
  <si>
    <t>assigned_by</t>
  </si>
  <si>
    <t>手配先部署id</t>
  </si>
  <si>
    <t>assigned_to</t>
  </si>
  <si>
    <t>納期</t>
  </si>
  <si>
    <t>作業手配日</t>
  </si>
  <si>
    <t>00:受付前</t>
  </si>
  <si>
    <t>半角数字2桁
00:受付前,
10:受付済</t>
  </si>
  <si>
    <t>2025年7月2日</t>
  </si>
  <si>
    <t>社内受注管理id</t>
  </si>
  <si>
    <t>作業部署id</t>
  </si>
  <si>
    <t>作業完了日</t>
  </si>
  <si>
    <t>CURRENT TIMESTAMP</t>
  </si>
  <si>
    <t>社内売上管理id</t>
  </si>
  <si>
    <t>金額</t>
  </si>
  <si>
    <t>内外区分</t>
  </si>
  <si>
    <t>0:他部署間, 1:同部署間</t>
  </si>
  <si>
    <t>2025年6月23日</t>
  </si>
  <si>
    <t>処理者id</t>
  </si>
  <si>
    <t>仕入取消区分</t>
  </si>
  <si>
    <t>0:仕入</t>
  </si>
  <si>
    <t>0:仕入, 1:仕入取消</t>
  </si>
  <si>
    <t>2025年8月18日</t>
  </si>
  <si>
    <t>作業部門別基準価格id</t>
  </si>
  <si>
    <t>12桁,少数なし
作業部門ごとの基準価格</t>
  </si>
  <si>
    <t>基準価格計上残</t>
  </si>
  <si>
    <t>12桁,少数なし
作業部門ごとの基準価格残</t>
  </si>
  <si>
    <t>仕入処理日</t>
  </si>
  <si>
    <t>製品発送費基準価格id</t>
  </si>
  <si>
    <t>12桁,少数なし</t>
  </si>
  <si>
    <t>計上日</t>
  </si>
  <si>
    <t>基準計上額</t>
  </si>
  <si>
    <t>売上単価</t>
  </si>
  <si>
    <t>売上金額</t>
  </si>
  <si>
    <t>2025年7月7日</t>
  </si>
  <si>
    <t>売上形態</t>
  </si>
  <si>
    <t>sales_type</t>
  </si>
  <si>
    <t>00:通常売上</t>
  </si>
  <si>
    <t>半角数字2桁
00:通常売上,
10:分割初回売上,
11:分割追加売上,
20:見込売上,
21:見込追加売上,
30:概算売上,
31:概算確定売上</t>
  </si>
  <si>
    <t>売上数量</t>
  </si>
  <si>
    <t>7</t>
  </si>
  <si>
    <t>7桁以内,少数なし
見込売上、見込追加売上は画面上の入力値
それ以外は0を登録</t>
  </si>
  <si>
    <t>担当者別売上id</t>
  </si>
  <si>
    <t>2025年7月8日</t>
  </si>
  <si>
    <t>売掛金id</t>
  </si>
  <si>
    <t>請求日</t>
  </si>
  <si>
    <t>入金日</t>
  </si>
  <si>
    <t>検収日</t>
  </si>
  <si>
    <t>登録者id</t>
  </si>
  <si>
    <t>registerd_by</t>
  </si>
  <si>
    <t>消込者id</t>
  </si>
  <si>
    <t>creared_by</t>
  </si>
  <si>
    <t>消費税</t>
  </si>
  <si>
    <t>tax</t>
  </si>
  <si>
    <t>振込手数料</t>
  </si>
  <si>
    <t>transfer_fee</t>
  </si>
  <si>
    <t>前受金id</t>
  </si>
  <si>
    <t>消込日</t>
  </si>
  <si>
    <t>2025年7月15日</t>
  </si>
  <si>
    <t>deliveries</t>
  </si>
  <si>
    <t>納品id</t>
  </si>
  <si>
    <t>半角数字2桁
00:登録済,
10:発行済,
20:出力済</t>
  </si>
  <si>
    <t>納品明細id</t>
  </si>
  <si>
    <t>delivery_id</t>
  </si>
  <si>
    <t>納品先id</t>
  </si>
  <si>
    <t>delivery_destination</t>
  </si>
  <si>
    <t>納品書番号</t>
  </si>
  <si>
    <t>delivery_number</t>
  </si>
  <si>
    <t>17</t>
  </si>
  <si>
    <t>17桁,ハイフン含む　自動採番</t>
  </si>
  <si>
    <t>納品日</t>
  </si>
  <si>
    <t>納品金額</t>
  </si>
  <si>
    <t>12桁以内,少数なし　税抜価格</t>
  </si>
  <si>
    <t>12桁以内,少数なし　No.8に対する消費税</t>
  </si>
  <si>
    <t>合計納品金額</t>
  </si>
  <si>
    <t>12桁以内,少数なし　No.8とNo9の合計値</t>
  </si>
  <si>
    <t>納品書発行履歴id</t>
  </si>
  <si>
    <t>発行種別</t>
  </si>
  <si>
    <t>出力種別</t>
  </si>
  <si>
    <t>1:初回出力</t>
  </si>
  <si>
    <t>出力日時</t>
  </si>
  <si>
    <t>exported_at</t>
  </si>
  <si>
    <t>出力者id</t>
  </si>
  <si>
    <t>exported_by</t>
  </si>
  <si>
    <t>請求id</t>
  </si>
  <si>
    <t>請求明細id</t>
  </si>
  <si>
    <t>billing_id</t>
  </si>
  <si>
    <t>請求先id</t>
  </si>
  <si>
    <t>billing_destination</t>
  </si>
  <si>
    <t>請求書番号</t>
  </si>
  <si>
    <t>billing_number</t>
  </si>
  <si>
    <t>請求金額</t>
  </si>
  <si>
    <t>合計請求金額</t>
  </si>
  <si>
    <t>2025年7月31日</t>
  </si>
  <si>
    <t>得意先別発送費id</t>
  </si>
  <si>
    <t>発生部署id</t>
  </si>
  <si>
    <t>月次処理計上済みフラグ</t>
  </si>
  <si>
    <t>0:未</t>
  </si>
  <si>
    <t>0：未 1：済</t>
  </si>
  <si>
    <t>2025年8月28日</t>
  </si>
  <si>
    <t>更新者id</t>
  </si>
  <si>
    <t>月次年月</t>
  </si>
  <si>
    <t>月次処理日</t>
  </si>
  <si>
    <t>2025年7月28日</t>
  </si>
  <si>
    <t>1桁 *1</t>
  </si>
  <si>
    <t>受注金額計</t>
  </si>
  <si>
    <t>作業部門別受注金額.受注金額の合計</t>
  </si>
  <si>
    <t>基準価格計上残計</t>
  </si>
  <si>
    <t>*2</t>
  </si>
  <si>
    <t>*1：在庫の種別</t>
  </si>
  <si>
    <t>A：見込売上の製品在庫</t>
  </si>
  <si>
    <t>B：分割売上の製品在庫</t>
  </si>
  <si>
    <t>C：社内仕入済みで売上未登録の製品在庫</t>
  </si>
  <si>
    <t>D：半製品在庫</t>
  </si>
  <si>
    <t>E：異常在庫（売上完了済みで計上残がある）</t>
  </si>
  <si>
    <t>*：製品発送費のみの半製品在庫（A～Eに該当しない工番）</t>
  </si>
  <si>
    <t>*2：基準価格計上残計</t>
  </si>
  <si>
    <t>基準価格データ.基準価格計上残の合計または製品計算書.基準価格.基準金額の合計または月別発送費.金額の合計</t>
  </si>
  <si>
    <t xml:space="preserve">         </t>
  </si>
  <si>
    <t>社内原価</t>
  </si>
  <si>
    <t>internal_cost</t>
  </si>
  <si>
    <t>12桁以内,少数なし *1</t>
  </si>
  <si>
    <t>社外原価</t>
  </si>
  <si>
    <t>external_cost</t>
  </si>
  <si>
    <t>12桁以内,少数なし *2</t>
  </si>
  <si>
    <t>原価合計</t>
  </si>
  <si>
    <t>total_cost</t>
  </si>
  <si>
    <t>12桁以内,少数なし 社内原価と社外原価の合計</t>
  </si>
  <si>
    <t>*1</t>
  </si>
  <si>
    <t>2025年8月29日</t>
  </si>
  <si>
    <t>計画値取込id</t>
  </si>
  <si>
    <t>取込実施年度</t>
  </si>
  <si>
    <t>year</t>
  </si>
  <si>
    <t>4桁　YYYY形式</t>
  </si>
  <si>
    <t>取込者id</t>
  </si>
  <si>
    <t>imported_by</t>
  </si>
  <si>
    <t>12桁以内,少数なし</t>
    <phoneticPr fontId="12"/>
  </si>
  <si>
    <t>得意先別倉庫料id</t>
    <rPh sb="4" eb="7">
      <t>ソウコリョウ</t>
    </rPh>
    <phoneticPr fontId="12"/>
  </si>
  <si>
    <t>高嶋　幸太</t>
    <rPh sb="0" eb="2">
      <t>タカシマ</t>
    </rPh>
    <rPh sb="3" eb="5">
      <t>コウタ</t>
    </rPh>
    <phoneticPr fontId="12"/>
  </si>
  <si>
    <t>2025年11月19日</t>
    <phoneticPr fontId="12"/>
  </si>
  <si>
    <t>得意先別倉庫料</t>
    <rPh sb="4" eb="7">
      <t>ソウコリョウ</t>
    </rPh>
    <phoneticPr fontId="12"/>
  </si>
  <si>
    <t>半角数字2桁
00:工番発行済,
10:作業手配済,
20:作業受付済,
30:作業完了済,
40:社内仕入済</t>
    <rPh sb="50" eb="54">
      <t>シャナイシイレ</t>
    </rPh>
    <rPh sb="54" eb="55">
      <t>ズミ</t>
    </rPh>
    <phoneticPr fontId="12"/>
  </si>
  <si>
    <t>2025年11月20日</t>
    <phoneticPr fontId="12"/>
  </si>
  <si>
    <t>得意先別倉庫料</t>
  </si>
  <si>
    <t>得意先ごとに発生した倉庫料を管理するテーブル</t>
    <rPh sb="0" eb="3">
      <t>トクイサキ</t>
    </rPh>
    <rPh sb="6" eb="8">
      <t>ハッセイ</t>
    </rPh>
    <rPh sb="10" eb="13">
      <t>ソウコリョウ</t>
    </rPh>
    <rPh sb="14" eb="16">
      <t>カンリ</t>
    </rPh>
    <phoneticPr fontId="12"/>
  </si>
  <si>
    <t>5</t>
    <phoneticPr fontId="12"/>
  </si>
  <si>
    <t>1.0.5</t>
    <phoneticPr fontId="12"/>
  </si>
  <si>
    <t>・得意先別倉庫料</t>
    <rPh sb="1" eb="8">
      <t>トクイサキベツソウコリョウ</t>
    </rPh>
    <phoneticPr fontId="12"/>
  </si>
  <si>
    <t>・受注</t>
    <rPh sb="1" eb="3">
      <t>ジュチュウ</t>
    </rPh>
    <phoneticPr fontId="12"/>
  </si>
  <si>
    <t>新規追加</t>
    <rPh sb="0" eb="2">
      <t>シンキ</t>
    </rPh>
    <rPh sb="2" eb="4">
      <t>ツイカ</t>
    </rPh>
    <phoneticPr fontId="12"/>
  </si>
  <si>
    <t>ステータスの備考に「40:社内仕入済」を追加</t>
    <rPh sb="6" eb="8">
      <t>ビコウ</t>
    </rPh>
    <rPh sb="20" eb="22">
      <t>ツイカ</t>
    </rPh>
    <phoneticPr fontId="12"/>
  </si>
  <si>
    <t>customer_warehouse_cost</t>
    <phoneticPr fontId="12"/>
  </si>
  <si>
    <t>2025年11月21日</t>
    <phoneticPr fontId="12"/>
  </si>
  <si>
    <t>6</t>
    <phoneticPr fontId="12"/>
  </si>
  <si>
    <t>1.0.6</t>
    <phoneticPr fontId="12"/>
  </si>
  <si>
    <t>・データ型をlaravelからpostgresql表記へ変更</t>
    <rPh sb="4" eb="5">
      <t>ガタ</t>
    </rPh>
    <rPh sb="25" eb="27">
      <t>ヒョウキ</t>
    </rPh>
    <rPh sb="28" eb="30">
      <t>ヘンコウ</t>
    </rPh>
    <phoneticPr fontId="12"/>
  </si>
  <si>
    <t>・◆部署別得意先</t>
    <rPh sb="2" eb="5">
      <t>ブショベツ</t>
    </rPh>
    <rPh sb="5" eb="8">
      <t>トクイサキ</t>
    </rPh>
    <phoneticPr fontId="12"/>
  </si>
  <si>
    <t>・見積</t>
    <rPh sb="1" eb="3">
      <t>ミツモリ</t>
    </rPh>
    <phoneticPr fontId="12"/>
  </si>
  <si>
    <t>・見積書</t>
    <rPh sb="1" eb="4">
      <t>ミツモリショ</t>
    </rPh>
    <phoneticPr fontId="12"/>
  </si>
  <si>
    <t>・作業部門別受注金額</t>
    <rPh sb="1" eb="3">
      <t>サギョウ</t>
    </rPh>
    <rPh sb="3" eb="6">
      <t>ブモンベツ</t>
    </rPh>
    <rPh sb="6" eb="8">
      <t>ジュチュウ</t>
    </rPh>
    <rPh sb="8" eb="10">
      <t>キンガク</t>
    </rPh>
    <phoneticPr fontId="12"/>
  </si>
  <si>
    <t>・◆工番関連</t>
    <rPh sb="2" eb="4">
      <t>コウバン</t>
    </rPh>
    <rPh sb="4" eb="6">
      <t>カンレン</t>
    </rPh>
    <phoneticPr fontId="12"/>
  </si>
  <si>
    <t>・部署別受注計画</t>
    <rPh sb="1" eb="4">
      <t>ブショベツ</t>
    </rPh>
    <rPh sb="4" eb="6">
      <t>ジュチュウ</t>
    </rPh>
    <rPh sb="6" eb="8">
      <t>ケイカク</t>
    </rPh>
    <phoneticPr fontId="12"/>
  </si>
  <si>
    <t>・受注週報集計明細</t>
    <rPh sb="1" eb="3">
      <t>ジュチュウ</t>
    </rPh>
    <rPh sb="3" eb="5">
      <t>シュウホウ</t>
    </rPh>
    <rPh sb="5" eb="7">
      <t>シュウケイ</t>
    </rPh>
    <rPh sb="7" eb="9">
      <t>メイサイ</t>
    </rPh>
    <phoneticPr fontId="12"/>
  </si>
  <si>
    <t>・受注週報集計累計</t>
    <rPh sb="1" eb="3">
      <t>ジュチュウ</t>
    </rPh>
    <rPh sb="3" eb="5">
      <t>シュウホウ</t>
    </rPh>
    <rPh sb="5" eb="7">
      <t>シュウケイ</t>
    </rPh>
    <rPh sb="7" eb="9">
      <t>ルイケイ</t>
    </rPh>
    <phoneticPr fontId="12"/>
  </si>
  <si>
    <t>・作業手配</t>
    <rPh sb="1" eb="3">
      <t>サギョウ</t>
    </rPh>
    <rPh sb="3" eb="5">
      <t>テハイ</t>
    </rPh>
    <phoneticPr fontId="12"/>
  </si>
  <si>
    <t>・社内受注管理</t>
    <rPh sb="1" eb="3">
      <t>シャナイ</t>
    </rPh>
    <rPh sb="3" eb="7">
      <t>ジュチュウカンリ</t>
    </rPh>
    <phoneticPr fontId="12"/>
  </si>
  <si>
    <t>・社内売上管理</t>
    <rPh sb="1" eb="3">
      <t>シャナイ</t>
    </rPh>
    <rPh sb="3" eb="5">
      <t>ウリアゲ</t>
    </rPh>
    <rPh sb="5" eb="7">
      <t>カンリ</t>
    </rPh>
    <phoneticPr fontId="12"/>
  </si>
  <si>
    <t>・社内仕入履歴</t>
    <rPh sb="1" eb="3">
      <t>シャナイ</t>
    </rPh>
    <rPh sb="3" eb="5">
      <t>シイ</t>
    </rPh>
    <rPh sb="5" eb="7">
      <t>リレキ</t>
    </rPh>
    <phoneticPr fontId="12"/>
  </si>
  <si>
    <t>・作業部門別基準価格</t>
    <rPh sb="1" eb="3">
      <t>サギョウ</t>
    </rPh>
    <rPh sb="3" eb="6">
      <t>ブモンベツ</t>
    </rPh>
    <rPh sb="6" eb="10">
      <t>キジュンカカク</t>
    </rPh>
    <phoneticPr fontId="12"/>
  </si>
  <si>
    <t>・製品発送費基準価格</t>
    <rPh sb="1" eb="3">
      <t>セイヒン</t>
    </rPh>
    <rPh sb="3" eb="5">
      <t>ハッソウ</t>
    </rPh>
    <rPh sb="5" eb="6">
      <t>ヒ</t>
    </rPh>
    <rPh sb="6" eb="10">
      <t>キジュンカカク</t>
    </rPh>
    <phoneticPr fontId="12"/>
  </si>
  <si>
    <t>・作業部門別売上</t>
    <rPh sb="1" eb="3">
      <t>サギョウ</t>
    </rPh>
    <rPh sb="3" eb="6">
      <t>ブモンベツ</t>
    </rPh>
    <rPh sb="6" eb="8">
      <t>ウリアゲ</t>
    </rPh>
    <phoneticPr fontId="12"/>
  </si>
  <si>
    <t>・製品発送費売上</t>
    <rPh sb="1" eb="3">
      <t>セイヒン</t>
    </rPh>
    <rPh sb="3" eb="5">
      <t>ハッソウ</t>
    </rPh>
    <rPh sb="5" eb="6">
      <t>ヒ</t>
    </rPh>
    <rPh sb="6" eb="8">
      <t>ウリアゲ</t>
    </rPh>
    <phoneticPr fontId="12"/>
  </si>
  <si>
    <t>・諸経費売上</t>
    <rPh sb="1" eb="4">
      <t>ショケイヒ</t>
    </rPh>
    <rPh sb="4" eb="6">
      <t>ウリアゲ</t>
    </rPh>
    <phoneticPr fontId="12"/>
  </si>
  <si>
    <t>・営業部署別売上</t>
    <rPh sb="1" eb="5">
      <t>エイギョウブショ</t>
    </rPh>
    <rPh sb="5" eb="6">
      <t>ベツ</t>
    </rPh>
    <rPh sb="6" eb="8">
      <t>ウリアゲ</t>
    </rPh>
    <phoneticPr fontId="12"/>
  </si>
  <si>
    <t>・担当者別売上</t>
    <rPh sb="1" eb="5">
      <t>タントウシャベツ</t>
    </rPh>
    <rPh sb="5" eb="7">
      <t>ウリアゲ</t>
    </rPh>
    <phoneticPr fontId="12"/>
  </si>
  <si>
    <t>・売掛金</t>
    <rPh sb="1" eb="4">
      <t>ウリカケキン</t>
    </rPh>
    <phoneticPr fontId="12"/>
  </si>
  <si>
    <t>・前受金</t>
    <rPh sb="1" eb="4">
      <t>マエウケキン</t>
    </rPh>
    <phoneticPr fontId="12"/>
  </si>
  <si>
    <t>・得意先別前受金残高</t>
    <rPh sb="1" eb="4">
      <t>トクイサキ</t>
    </rPh>
    <rPh sb="4" eb="5">
      <t>ベツ</t>
    </rPh>
    <rPh sb="5" eb="8">
      <t>マエウケキン</t>
    </rPh>
    <rPh sb="8" eb="10">
      <t>ザンダカ</t>
    </rPh>
    <phoneticPr fontId="12"/>
  </si>
  <si>
    <t>・得意先別前受金消込履歴</t>
    <rPh sb="1" eb="4">
      <t>トクイサキ</t>
    </rPh>
    <rPh sb="4" eb="5">
      <t>ベツ</t>
    </rPh>
    <rPh sb="5" eb="8">
      <t>マエウケキン</t>
    </rPh>
    <rPh sb="8" eb="10">
      <t>ケシコミ</t>
    </rPh>
    <rPh sb="10" eb="12">
      <t>リレキ</t>
    </rPh>
    <phoneticPr fontId="12"/>
  </si>
  <si>
    <t>・納品</t>
    <rPh sb="1" eb="3">
      <t>ノウヒン</t>
    </rPh>
    <phoneticPr fontId="12"/>
  </si>
  <si>
    <t>・納品明細</t>
    <rPh sb="1" eb="3">
      <t>ノウヒン</t>
    </rPh>
    <rPh sb="3" eb="5">
      <t>メイサイ</t>
    </rPh>
    <phoneticPr fontId="12"/>
  </si>
  <si>
    <t>・納品書発行履歴</t>
    <rPh sb="1" eb="4">
      <t>ノウヒンショ</t>
    </rPh>
    <rPh sb="4" eb="6">
      <t>ハッコウ</t>
    </rPh>
    <rPh sb="6" eb="8">
      <t>リレキ</t>
    </rPh>
    <phoneticPr fontId="12"/>
  </si>
  <si>
    <t>・納品書データ出力履歴</t>
    <rPh sb="1" eb="4">
      <t>ノウヒンショ</t>
    </rPh>
    <rPh sb="7" eb="9">
      <t>シュツリョク</t>
    </rPh>
    <rPh sb="9" eb="11">
      <t>リレキ</t>
    </rPh>
    <phoneticPr fontId="12"/>
  </si>
  <si>
    <t>・請求</t>
    <rPh sb="1" eb="3">
      <t>セイキュウ</t>
    </rPh>
    <phoneticPr fontId="12"/>
  </si>
  <si>
    <t>・請求明細</t>
    <rPh sb="1" eb="5">
      <t>セイキュウメイサイ</t>
    </rPh>
    <phoneticPr fontId="12"/>
  </si>
  <si>
    <t>・請求書発行履歴</t>
    <rPh sb="1" eb="4">
      <t>セイキュウショ</t>
    </rPh>
    <rPh sb="4" eb="6">
      <t>ハッコウ</t>
    </rPh>
    <rPh sb="6" eb="8">
      <t>リレキ</t>
    </rPh>
    <phoneticPr fontId="12"/>
  </si>
  <si>
    <t>・得意先別発送費</t>
    <rPh sb="1" eb="4">
      <t>トクイサキ</t>
    </rPh>
    <rPh sb="4" eb="5">
      <t>ベツ</t>
    </rPh>
    <rPh sb="5" eb="7">
      <t>ハッソウ</t>
    </rPh>
    <rPh sb="7" eb="8">
      <t>ヒ</t>
    </rPh>
    <phoneticPr fontId="12"/>
  </si>
  <si>
    <t>・得意先別発送費更新履歴</t>
    <rPh sb="1" eb="4">
      <t>トクイサキ</t>
    </rPh>
    <rPh sb="4" eb="5">
      <t>ベツ</t>
    </rPh>
    <rPh sb="5" eb="7">
      <t>ハッソウ</t>
    </rPh>
    <rPh sb="7" eb="8">
      <t>ヒ</t>
    </rPh>
    <rPh sb="8" eb="12">
      <t>コウシンリレキ</t>
    </rPh>
    <phoneticPr fontId="12"/>
  </si>
  <si>
    <t>・月次処理日データ</t>
    <rPh sb="1" eb="5">
      <t>ゲツジショリ</t>
    </rPh>
    <rPh sb="5" eb="6">
      <t>ビ</t>
    </rPh>
    <phoneticPr fontId="12"/>
  </si>
  <si>
    <t>・製品在庫金額</t>
    <rPh sb="1" eb="5">
      <t>セイヒンザイコ</t>
    </rPh>
    <rPh sb="5" eb="7">
      <t>キンガク</t>
    </rPh>
    <phoneticPr fontId="12"/>
  </si>
  <si>
    <t>・製品在庫金額集計</t>
    <rPh sb="1" eb="5">
      <t>セイヒンザイコ</t>
    </rPh>
    <rPh sb="5" eb="7">
      <t>キンガク</t>
    </rPh>
    <rPh sb="7" eb="9">
      <t>シュウケイ</t>
    </rPh>
    <phoneticPr fontId="12"/>
  </si>
  <si>
    <t>・仕掛在庫金額</t>
    <rPh sb="1" eb="3">
      <t>シカカリ</t>
    </rPh>
    <rPh sb="3" eb="5">
      <t>ザイコ</t>
    </rPh>
    <rPh sb="5" eb="7">
      <t>キンガク</t>
    </rPh>
    <phoneticPr fontId="12"/>
  </si>
  <si>
    <t>・計画値取込</t>
    <rPh sb="1" eb="4">
      <t>ケイカクチ</t>
    </rPh>
    <rPh sb="4" eb="6">
      <t>トリコミ</t>
    </rPh>
    <phoneticPr fontId="12"/>
  </si>
  <si>
    <t>・得意先別倉庫料</t>
    <rPh sb="1" eb="4">
      <t>トクイサキ</t>
    </rPh>
    <rPh sb="4" eb="5">
      <t>ベツ</t>
    </rPh>
    <rPh sb="5" eb="7">
      <t>ソウコ</t>
    </rPh>
    <rPh sb="7" eb="8">
      <t>リョウ</t>
    </rPh>
    <phoneticPr fontId="12"/>
  </si>
  <si>
    <t>BIGINT</t>
    <phoneticPr fontId="12"/>
  </si>
  <si>
    <t>TIMESTAMP(0)</t>
    <phoneticPr fontId="12"/>
  </si>
  <si>
    <t>BIGSERIAL</t>
    <phoneticPr fontId="12"/>
  </si>
  <si>
    <t>VARCHAR(50)</t>
    <phoneticPr fontId="12"/>
  </si>
  <si>
    <t>TEXT</t>
    <phoneticPr fontId="12"/>
  </si>
  <si>
    <t>CHAR(2)</t>
    <phoneticPr fontId="12"/>
  </si>
  <si>
    <t>DECIMAL(12,0)</t>
    <phoneticPr fontId="12"/>
  </si>
  <si>
    <t>DATE</t>
    <phoneticPr fontId="12"/>
  </si>
  <si>
    <t>TIMESTAMP</t>
    <phoneticPr fontId="12"/>
  </si>
  <si>
    <t>BOOLEAN</t>
    <phoneticPr fontId="12"/>
  </si>
  <si>
    <t>VARCHAR(255)</t>
    <phoneticPr fontId="12"/>
  </si>
  <si>
    <t>VARCHAR(1000)</t>
    <phoneticPr fontId="12"/>
  </si>
  <si>
    <t>CHAR(5)</t>
    <phoneticPr fontId="12"/>
  </si>
  <si>
    <t>VARCHAR(10)</t>
    <phoneticPr fontId="12"/>
  </si>
  <si>
    <t>INTEGER</t>
    <phoneticPr fontId="12"/>
  </si>
  <si>
    <t>VARCHAR(20)</t>
    <phoneticPr fontId="12"/>
  </si>
  <si>
    <t>DECIMAL(4,1)</t>
    <phoneticPr fontId="12"/>
  </si>
  <si>
    <t>DECIMAL(7,0)</t>
    <phoneticPr fontId="12"/>
  </si>
  <si>
    <t>VARCHAR(17)</t>
    <phoneticPr fontId="12"/>
  </si>
  <si>
    <t>CHAR(1)</t>
    <phoneticPr fontId="12"/>
  </si>
  <si>
    <t>CHAR(4)</t>
    <phoneticPr fontId="12"/>
  </si>
  <si>
    <t>発生年月</t>
    <rPh sb="0" eb="4">
      <t>ハッセイネンゲツ</t>
    </rPh>
    <phoneticPr fontId="12"/>
  </si>
  <si>
    <t>井上　裕之</t>
    <rPh sb="0" eb="2">
      <t>イノウエ</t>
    </rPh>
    <rPh sb="3" eb="5">
      <t>ヒロユキ</t>
    </rPh>
    <phoneticPr fontId="12"/>
  </si>
  <si>
    <t>2025年11月28日</t>
    <phoneticPr fontId="12"/>
  </si>
  <si>
    <t>・カラム名称変更「発生月」「発生年月」</t>
    <rPh sb="4" eb="6">
      <t>メイショウ</t>
    </rPh>
    <rPh sb="6" eb="8">
      <t>ヘンコウ</t>
    </rPh>
    <rPh sb="9" eb="12">
      <t>ハッセイツキ</t>
    </rPh>
    <rPh sb="14" eb="18">
      <t>ハッセイネンゲツ</t>
    </rPh>
    <phoneticPr fontId="12"/>
  </si>
  <si>
    <t>7</t>
    <phoneticPr fontId="12"/>
  </si>
  <si>
    <t>1.0.7</t>
    <phoneticPr fontId="12"/>
  </si>
  <si>
    <t>・得意先別発送費</t>
    <rPh sb="1" eb="8">
      <t>トクイサキベツハッソウヒ</t>
    </rPh>
    <phoneticPr fontId="12"/>
  </si>
  <si>
    <t>cost</t>
  </si>
  <si>
    <t>operation_id</t>
  </si>
  <si>
    <t>cost_last_year</t>
  </si>
  <si>
    <t>cost_remaining</t>
  </si>
  <si>
    <t>版下納期</t>
    <phoneticPr fontId="12"/>
  </si>
  <si>
    <t>purchase_order_number</t>
    <phoneticPr fontId="12"/>
  </si>
  <si>
    <t>provided_photos_count</t>
    <phoneticPr fontId="12"/>
  </si>
  <si>
    <t>支給図面枚数</t>
    <phoneticPr fontId="12"/>
  </si>
  <si>
    <t>work_number_relations</t>
    <phoneticPr fontId="12"/>
  </si>
  <si>
    <t>work_number_relation_id</t>
    <phoneticPr fontId="12"/>
  </si>
  <si>
    <t>工番関連id</t>
    <phoneticPr fontId="12"/>
  </si>
  <si>
    <t>planned_profit_margin</t>
    <phoneticPr fontId="12"/>
  </si>
  <si>
    <t>order_weekly_details</t>
    <phoneticPr fontId="12"/>
  </si>
  <si>
    <t>社内仕入履歴</t>
    <phoneticPr fontId="12"/>
  </si>
  <si>
    <t>前受金残高</t>
    <phoneticPr fontId="12"/>
  </si>
  <si>
    <t>得意先別発送費更新履歴</t>
    <phoneticPr fontId="12"/>
  </si>
  <si>
    <t>製品在庫金額集計</t>
    <phoneticPr fontId="12"/>
  </si>
  <si>
    <t>仕掛在庫金額</t>
    <phoneticPr fontId="12"/>
  </si>
  <si>
    <t>orders</t>
    <phoneticPr fontId="12"/>
  </si>
  <si>
    <t>order_id</t>
    <phoneticPr fontId="12"/>
  </si>
  <si>
    <t>section_order_plans</t>
    <phoneticPr fontId="12"/>
  </si>
  <si>
    <t>section_order_plan_id</t>
    <phoneticPr fontId="12"/>
  </si>
  <si>
    <t>order_weekly_detail_id</t>
    <phoneticPr fontId="12"/>
  </si>
  <si>
    <t>order_weekly_totals</t>
    <phoneticPr fontId="12"/>
  </si>
  <si>
    <t>order_weekly_total_id</t>
    <phoneticPr fontId="12"/>
  </si>
  <si>
    <t>work_arrangements</t>
    <phoneticPr fontId="12"/>
  </si>
  <si>
    <t>work_arrangement_id</t>
    <phoneticPr fontId="12"/>
  </si>
  <si>
    <t>internal_orders</t>
    <phoneticPr fontId="12"/>
  </si>
  <si>
    <t>internal_order_id</t>
    <phoneticPr fontId="12"/>
  </si>
  <si>
    <t>internal_sales</t>
    <phoneticPr fontId="12"/>
  </si>
  <si>
    <t>internal_sale_id</t>
    <phoneticPr fontId="12"/>
  </si>
  <si>
    <t>社内仕入履歴id</t>
    <phoneticPr fontId="12"/>
  </si>
  <si>
    <t>諸経費売上id</t>
    <phoneticPr fontId="12"/>
  </si>
  <si>
    <t>accounts_receivables</t>
    <phoneticPr fontId="12"/>
  </si>
  <si>
    <t>accounts_receivable_id</t>
    <phoneticPr fontId="12"/>
  </si>
  <si>
    <t>得意先別前受金残高id</t>
    <phoneticPr fontId="12"/>
  </si>
  <si>
    <t>得意先別前受金消込履歴id</t>
    <phoneticPr fontId="12"/>
  </si>
  <si>
    <t>delivery_details</t>
    <phoneticPr fontId="12"/>
  </si>
  <si>
    <t>delivery_detail_id</t>
    <phoneticPr fontId="12"/>
  </si>
  <si>
    <t>納品書データ出力履歴id</t>
    <phoneticPr fontId="12"/>
  </si>
  <si>
    <t>billings</t>
    <phoneticPr fontId="12"/>
  </si>
  <si>
    <t>billing_id</t>
    <phoneticPr fontId="12"/>
  </si>
  <si>
    <t>billing_details</t>
    <phoneticPr fontId="12"/>
  </si>
  <si>
    <t>billing_detail_id</t>
    <phoneticPr fontId="12"/>
  </si>
  <si>
    <t>請求書発行履歴id</t>
    <phoneticPr fontId="12"/>
  </si>
  <si>
    <t>得意先別発送費id</t>
    <phoneticPr fontId="12"/>
  </si>
  <si>
    <t>得意先別発送費更新履歴id</t>
    <phoneticPr fontId="12"/>
  </si>
  <si>
    <t>月次処理日データid</t>
    <phoneticPr fontId="12"/>
  </si>
  <si>
    <t>製品在庫金額集計id</t>
    <phoneticPr fontId="12"/>
  </si>
  <si>
    <t>仕掛在庫金額id</t>
    <phoneticPr fontId="12"/>
  </si>
  <si>
    <t>plan_imports</t>
    <phoneticPr fontId="12"/>
  </si>
  <si>
    <t>plan_import_id</t>
    <phoneticPr fontId="12"/>
  </si>
  <si>
    <t>2025年12月2日</t>
    <phoneticPr fontId="12"/>
  </si>
  <si>
    <t>木島　彩梨沙</t>
    <rPh sb="0" eb="2">
      <t>キジマ</t>
    </rPh>
    <rPh sb="3" eb="6">
      <t>アヤリサ</t>
    </rPh>
    <phoneticPr fontId="12"/>
  </si>
  <si>
    <t>8</t>
    <phoneticPr fontId="12"/>
  </si>
  <si>
    <t>1.0.8</t>
    <phoneticPr fontId="12"/>
  </si>
  <si>
    <t>・amount・priceをcostに変更</t>
    <rPh sb="19" eb="21">
      <t>ヘンコウ</t>
    </rPh>
    <phoneticPr fontId="2"/>
  </si>
  <si>
    <t>・部署を表すdepartmentをsectionに変更</t>
    <rPh sb="1" eb="3">
      <t>ブショ</t>
    </rPh>
    <rPh sb="4" eb="5">
      <t>アラワ</t>
    </rPh>
    <rPh sb="25" eb="27">
      <t>ヘンコウ</t>
    </rPh>
    <phoneticPr fontId="2"/>
  </si>
  <si>
    <t>・組織を表すorganizationをdepartmentに変更</t>
    <rPh sb="1" eb="3">
      <t>ソシキ</t>
    </rPh>
    <rPh sb="4" eb="5">
      <t>アラワ</t>
    </rPh>
    <rPh sb="30" eb="32">
      <t>ヘンコウ</t>
    </rPh>
    <phoneticPr fontId="2"/>
  </si>
  <si>
    <t>・物理名「id」を「テーブル名_id」に変更</t>
    <rPh sb="1" eb="4">
      <t>ブツリメイ</t>
    </rPh>
    <rPh sb="14" eb="15">
      <t>メイ</t>
    </rPh>
    <rPh sb="20" eb="22">
      <t>ヘンコウ</t>
    </rPh>
    <phoneticPr fontId="2"/>
  </si>
  <si>
    <t>・作業部門を表すwork_departmentをoperationに変更</t>
    <rPh sb="1" eb="5">
      <t>サギョウブモン</t>
    </rPh>
    <rPh sb="6" eb="7">
      <t>アラワ</t>
    </rPh>
    <rPh sb="34" eb="36">
      <t>ヘンコウ</t>
    </rPh>
    <phoneticPr fontId="2"/>
  </si>
  <si>
    <t>・ON UPDATE CURRENT_TIME STAMPをCURRENT_TIMESTAMPに変更</t>
    <rPh sb="48" eb="50">
      <t>ヘンコウ</t>
    </rPh>
    <phoneticPr fontId="2"/>
  </si>
  <si>
    <t>└上記の変更でstandard_costとなるものはcostに変更</t>
    <rPh sb="1" eb="3">
      <t>ジョウキ</t>
    </rPh>
    <rPh sb="4" eb="6">
      <t>ヘンコウ</t>
    </rPh>
    <rPh sb="31" eb="33">
      <t>ヘンコウ</t>
    </rPh>
    <phoneticPr fontId="2"/>
  </si>
  <si>
    <t>customer_warehouse_cost_id</t>
    <phoneticPr fontId="12"/>
  </si>
  <si>
    <t>prod_name</t>
  </si>
  <si>
    <t>official_prod_name</t>
  </si>
  <si>
    <t>short_prod_name</t>
  </si>
  <si>
    <t>quots</t>
  </si>
  <si>
    <t>quot_id</t>
  </si>
  <si>
    <t>quot_number</t>
  </si>
  <si>
    <t>quot_subject</t>
  </si>
  <si>
    <t>quot_summary</t>
  </si>
  <si>
    <t>quot_result</t>
  </si>
  <si>
    <t>section_cd_id</t>
  </si>
  <si>
    <t>center_section_cd_id</t>
  </si>
  <si>
    <t>prod_cd</t>
  </si>
  <si>
    <t>internal_purchase_log</t>
  </si>
  <si>
    <t>internal_purchase_log_id</t>
  </si>
  <si>
    <t>delivery_issue_log</t>
  </si>
  <si>
    <t>delivery_issue_log_id</t>
  </si>
  <si>
    <t>delivery_export_log</t>
  </si>
  <si>
    <t>delivery_export_log_id</t>
  </si>
  <si>
    <t>billing_issue_log</t>
  </si>
  <si>
    <t>billing_issue_log_id</t>
  </si>
  <si>
    <t>quot_amount</t>
    <phoneticPr fontId="12"/>
  </si>
  <si>
    <t>order_amount</t>
    <phoneticPr fontId="12"/>
  </si>
  <si>
    <t>first_cost</t>
    <phoneticPr fontId="12"/>
  </si>
  <si>
    <t>first_order_amount</t>
    <phoneticPr fontId="12"/>
  </si>
  <si>
    <t>profit_amount</t>
    <phoneticPr fontId="12"/>
  </si>
  <si>
    <t>sales_forecast_amount</t>
    <phoneticPr fontId="12"/>
  </si>
  <si>
    <t>backlog_forecast_amount</t>
    <phoneticPr fontId="12"/>
  </si>
  <si>
    <t>planned_order_amount</t>
    <phoneticPr fontId="12"/>
  </si>
  <si>
    <t>unit_amount</t>
    <phoneticPr fontId="12"/>
  </si>
  <si>
    <t>sales_amount</t>
    <phoneticPr fontId="12"/>
  </si>
  <si>
    <t>作業部門別売上</t>
    <phoneticPr fontId="12"/>
  </si>
  <si>
    <t>作業部門別売上id</t>
    <phoneticPr fontId="12"/>
  </si>
  <si>
    <t>製品発送費売上</t>
    <phoneticPr fontId="12"/>
  </si>
  <si>
    <t>製品発送費売上id</t>
    <phoneticPr fontId="12"/>
  </si>
  <si>
    <t>sales_quantity</t>
    <phoneticPr fontId="12"/>
  </si>
  <si>
    <t>営業部署別売上</t>
    <phoneticPr fontId="12"/>
  </si>
  <si>
    <t>営業部署別売上id</t>
    <phoneticPr fontId="12"/>
  </si>
  <si>
    <t>sales_person_amounts</t>
    <phoneticPr fontId="12"/>
  </si>
  <si>
    <t>sales_person_amount_id</t>
    <phoneticPr fontId="12"/>
  </si>
  <si>
    <t>amount</t>
    <phoneticPr fontId="12"/>
  </si>
  <si>
    <t>delivery_amount</t>
    <phoneticPr fontId="12"/>
  </si>
  <si>
    <t>tax</t>
    <phoneticPr fontId="12"/>
  </si>
  <si>
    <t>total_delivery_amount</t>
    <phoneticPr fontId="12"/>
  </si>
  <si>
    <t>billing_amount</t>
    <phoneticPr fontId="12"/>
  </si>
  <si>
    <t>total_billing_amount</t>
    <phoneticPr fontId="12"/>
  </si>
  <si>
    <t>cost</t>
    <phoneticPr fontId="12"/>
  </si>
  <si>
    <t>remaining_cost</t>
    <phoneticPr fontId="12"/>
  </si>
  <si>
    <t>total_order_amount</t>
    <phoneticPr fontId="12"/>
  </si>
  <si>
    <t>発生年月</t>
    <rPh sb="2" eb="3">
      <t>ネン</t>
    </rPh>
    <phoneticPr fontId="12"/>
  </si>
  <si>
    <t>・得意先別倉庫料</t>
  </si>
  <si>
    <t>9</t>
    <phoneticPr fontId="12"/>
  </si>
  <si>
    <t>1.0.9</t>
    <phoneticPr fontId="12"/>
  </si>
  <si>
    <t>・codeをcdに変更</t>
  </si>
  <si>
    <t>・production・productをprodに変更</t>
  </si>
  <si>
    <t>・documentをdocに変更</t>
  </si>
  <si>
    <t>・quotationをquotに変更</t>
  </si>
  <si>
    <t>・historyをlogに変更</t>
  </si>
  <si>
    <t>・基準価格以外のcostをamountに修正</t>
  </si>
  <si>
    <t>sales_operation_amounts</t>
  </si>
  <si>
    <t>sales_operation_amount_id</t>
  </si>
  <si>
    <t>ship_costs</t>
  </si>
  <si>
    <t>ship_cost_id</t>
  </si>
  <si>
    <t>customer_ship_cost</t>
  </si>
  <si>
    <t>customer_ship_cost_id</t>
  </si>
  <si>
    <t>customer_ship_cost_log</t>
  </si>
  <si>
    <t>customer_ship_cost_log_id</t>
  </si>
  <si>
    <t>adv_payments</t>
  </si>
  <si>
    <t>adv_payment_id</t>
  </si>
  <si>
    <t>customer_adv_payments</t>
  </si>
  <si>
    <t>customer_adv_payment_id</t>
  </si>
  <si>
    <t>customer_adv_payment_log</t>
  </si>
  <si>
    <t>customer_adv_payment_log_id</t>
  </si>
  <si>
    <t>monthly_closing_date</t>
  </si>
  <si>
    <t>monthly_closing_date_id</t>
  </si>
  <si>
    <t>sales_ship_amounts</t>
  </si>
  <si>
    <t>sales_ship_amount_id</t>
  </si>
  <si>
    <t>prod_inv_totals</t>
  </si>
  <si>
    <t>prod_inv_total_id</t>
  </si>
  <si>
    <t>in_progress_inv_costs</t>
  </si>
  <si>
    <t>in_progress_inv_cost_id</t>
  </si>
  <si>
    <t>sales_various_amounts</t>
  </si>
  <si>
    <t>sales_various_amount_id</t>
  </si>
  <si>
    <t>drawing_count</t>
    <phoneticPr fontId="12"/>
  </si>
  <si>
    <t>・受注テーブルの版下納期をbc_delivery_date、支給図面枚数をdrawing_countに変更</t>
    <rPh sb="1" eb="3">
      <t>ジュチュウ</t>
    </rPh>
    <rPh sb="51" eb="53">
      <t>ヘンコウ</t>
    </rPh>
    <phoneticPr fontId="12"/>
  </si>
  <si>
    <t>・諸経費売上を表すsales_miscellaneous_amountをsales_various_amountに変更</t>
    <rPh sb="1" eb="6">
      <t>ショケイヒウリアゲ</t>
    </rPh>
    <rPh sb="7" eb="8">
      <t>アラワ</t>
    </rPh>
    <rPh sb="57" eb="59">
      <t>ヘンコウ</t>
    </rPh>
    <phoneticPr fontId="12"/>
  </si>
  <si>
    <t>・前受金を表すadvance_paymentをadv_paymentに変更</t>
    <rPh sb="1" eb="3">
      <t>マエウ</t>
    </rPh>
    <rPh sb="3" eb="4">
      <t>キン</t>
    </rPh>
    <rPh sb="5" eb="6">
      <t>アラワ</t>
    </rPh>
    <rPh sb="35" eb="37">
      <t>ヘンコウ</t>
    </rPh>
    <phoneticPr fontId="12"/>
  </si>
  <si>
    <t>・発送費を表すshipping_costをship_costに変更</t>
    <rPh sb="1" eb="4">
      <t>ハッソウヒ</t>
    </rPh>
    <rPh sb="5" eb="6">
      <t>アラワ</t>
    </rPh>
    <rPh sb="31" eb="33">
      <t>ヘンコウ</t>
    </rPh>
    <phoneticPr fontId="12"/>
  </si>
  <si>
    <t>・月次処理日データを表すmonthly_processing_dateをmonthly_closing_dateに変更</t>
    <rPh sb="1" eb="6">
      <t>ゲツジショリビ</t>
    </rPh>
    <rPh sb="10" eb="11">
      <t>アラワ</t>
    </rPh>
    <rPh sb="57" eb="59">
      <t>ヘンコウ</t>
    </rPh>
    <phoneticPr fontId="12"/>
  </si>
  <si>
    <t>・在庫を表すinventoryをinvに変更</t>
    <rPh sb="1" eb="3">
      <t>ザイコ</t>
    </rPh>
    <rPh sb="4" eb="5">
      <t>アラワ</t>
    </rPh>
    <rPh sb="20" eb="22">
      <t>ヘンコウ</t>
    </rPh>
    <phoneticPr fontId="12"/>
  </si>
  <si>
    <t>・仕掛在庫金額を表すwork_in_process_inventory_costをin_progress_inv_costに変更</t>
    <rPh sb="1" eb="7">
      <t>シカカリザイコキンガク</t>
    </rPh>
    <rPh sb="8" eb="9">
      <t>アラワ</t>
    </rPh>
    <rPh sb="62" eb="64">
      <t>ヘンコウ</t>
    </rPh>
    <phoneticPr fontId="12"/>
  </si>
  <si>
    <t>・発送費売上を表すshipping_amountをship_amountに変更</t>
    <rPh sb="1" eb="6">
      <t>ハッソウヒウリアゲ</t>
    </rPh>
    <rPh sb="7" eb="8">
      <t>アラワ</t>
    </rPh>
    <rPh sb="37" eb="39">
      <t>ヘンコウ</t>
    </rPh>
    <phoneticPr fontId="12"/>
  </si>
  <si>
    <t>作業部門別受注金額</t>
    <phoneticPr fontId="12"/>
  </si>
  <si>
    <t>order_operation_amounts</t>
    <phoneticPr fontId="12"/>
  </si>
  <si>
    <t>order_operation_amount_id</t>
    <phoneticPr fontId="12"/>
  </si>
  <si>
    <t>customer_section_cd</t>
    <phoneticPr fontId="12"/>
  </si>
  <si>
    <t>customer_section_cd_id</t>
    <phoneticPr fontId="12"/>
  </si>
  <si>
    <t>・◆部署別得意先を表すcustomer_departmentをcustomer_section_cdに変更</t>
    <rPh sb="9" eb="10">
      <t>アラワ</t>
    </rPh>
    <rPh sb="51" eb="53">
      <t>ヘンコウ</t>
    </rPh>
    <phoneticPr fontId="12"/>
  </si>
  <si>
    <t>2025年12月10日</t>
    <phoneticPr fontId="12"/>
  </si>
  <si>
    <t>製品発送費基準価格</t>
    <rPh sb="0" eb="9">
      <t>セイヒンハッソウヒキジュンカカク</t>
    </rPh>
    <phoneticPr fontId="12"/>
  </si>
  <si>
    <t>取込日を削除</t>
    <rPh sb="0" eb="3">
      <t>トリコミビ</t>
    </rPh>
    <rPh sb="4" eb="6">
      <t>サクジョ</t>
    </rPh>
    <phoneticPr fontId="12"/>
  </si>
  <si>
    <t>quot_status</t>
    <phoneticPr fontId="12"/>
  </si>
  <si>
    <t>quot_on</t>
    <phoneticPr fontId="12"/>
  </si>
  <si>
    <t>order_cd_year</t>
    <phoneticPr fontId="12"/>
  </si>
  <si>
    <t>工番（通番）</t>
    <phoneticPr fontId="12"/>
  </si>
  <si>
    <t>order_cd</t>
    <phoneticPr fontId="12"/>
  </si>
  <si>
    <t>得意先名</t>
    <phoneticPr fontId="12"/>
  </si>
  <si>
    <t>customer_name</t>
    <phoneticPr fontId="12"/>
  </si>
  <si>
    <t>order_on</t>
    <phoneticPr fontId="12"/>
  </si>
  <si>
    <t>bc_delivery_on</t>
    <phoneticPr fontId="12"/>
  </si>
  <si>
    <t>delivery_on</t>
    <phoneticPr fontId="12"/>
  </si>
  <si>
    <t>completion_on</t>
    <phoneticPr fontId="12"/>
  </si>
  <si>
    <t>False:未承認</t>
    <phoneticPr fontId="12"/>
  </si>
  <si>
    <t>False:未承認, True:承認済</t>
    <phoneticPr fontId="12"/>
  </si>
  <si>
    <t>first_proof_on</t>
    <phoneticPr fontId="12"/>
  </si>
  <si>
    <t>second_proof_on</t>
    <phoneticPr fontId="12"/>
  </si>
  <si>
    <t>third_proof_on</t>
    <phoneticPr fontId="12"/>
  </si>
  <si>
    <t>作業区分1有無</t>
    <phoneticPr fontId="12"/>
  </si>
  <si>
    <t>作業区分2有無</t>
  </si>
  <si>
    <t>作業区分3有無</t>
  </si>
  <si>
    <t>作業区分4有無</t>
  </si>
  <si>
    <t>作業区分5有無</t>
  </si>
  <si>
    <t>作業区分6有無</t>
  </si>
  <si>
    <t>False:編集作業なし</t>
    <phoneticPr fontId="12"/>
  </si>
  <si>
    <t>False:編集デザイン作業なし</t>
    <phoneticPr fontId="12"/>
  </si>
  <si>
    <t>False:印刷作業なし</t>
    <phoneticPr fontId="12"/>
  </si>
  <si>
    <t>False:ソフトウェア作業なし</t>
    <phoneticPr fontId="12"/>
  </si>
  <si>
    <t>False:エレクトロニクス設計作業なし</t>
    <phoneticPr fontId="12"/>
  </si>
  <si>
    <t>False:物流・部材作業なし</t>
    <phoneticPr fontId="12"/>
  </si>
  <si>
    <t>False:編集作業なし, True:編集作業あり</t>
    <phoneticPr fontId="12"/>
  </si>
  <si>
    <t>False:印刷作業なし, True:印刷作業あり</t>
    <phoneticPr fontId="12"/>
  </si>
  <si>
    <t>False:ソフトウェア作業なし,
True:ソフトウェア作業あり</t>
    <phoneticPr fontId="12"/>
  </si>
  <si>
    <t>False:エレクトロニクス設計作業なし,
True:エレクトロニクス設計作業あり</t>
    <phoneticPr fontId="12"/>
  </si>
  <si>
    <t>False:物流・部材作業なし,
True:物流・部材作業あり</t>
    <phoneticPr fontId="12"/>
  </si>
  <si>
    <t>個人情報有無</t>
    <phoneticPr fontId="12"/>
  </si>
  <si>
    <t>機密情報有無</t>
    <phoneticPr fontId="12"/>
  </si>
  <si>
    <t>データ保管有無</t>
    <phoneticPr fontId="12"/>
  </si>
  <si>
    <t>False:個人情報なし</t>
    <phoneticPr fontId="12"/>
  </si>
  <si>
    <t>False:機密情報なし</t>
    <phoneticPr fontId="12"/>
  </si>
  <si>
    <t>False:データ保管不要</t>
    <phoneticPr fontId="12"/>
  </si>
  <si>
    <t>False:個人情報なし, True:個人情報あり</t>
    <phoneticPr fontId="12"/>
  </si>
  <si>
    <t>False:機密情報なし, True:機密情報あり</t>
    <phoneticPr fontId="12"/>
  </si>
  <si>
    <t>False:データ保管不要, True:データ保管必要</t>
    <phoneticPr fontId="12"/>
  </si>
  <si>
    <t>sales_completion_on</t>
    <phoneticPr fontId="12"/>
  </si>
  <si>
    <t>order_status</t>
    <phoneticPr fontId="12"/>
  </si>
  <si>
    <t>work_arrgt_on</t>
    <phoneticPr fontId="12"/>
  </si>
  <si>
    <t>work_arrgt_status</t>
    <phoneticPr fontId="12"/>
  </si>
  <si>
    <t>completed_on</t>
    <phoneticPr fontId="12"/>
  </si>
  <si>
    <t>CHAR(7)</t>
    <phoneticPr fontId="12"/>
  </si>
  <si>
    <t>7桁 YYYY/MM形式</t>
    <phoneticPr fontId="12"/>
  </si>
  <si>
    <t>same_section_category</t>
    <phoneticPr fontId="12"/>
  </si>
  <si>
    <t>cancelled_category</t>
    <phoneticPr fontId="12"/>
  </si>
  <si>
    <t>stocking_on</t>
    <phoneticPr fontId="12"/>
  </si>
  <si>
    <t>recorded_on</t>
    <phoneticPr fontId="12"/>
  </si>
  <si>
    <t>accrual_cost</t>
    <phoneticPr fontId="12"/>
  </si>
  <si>
    <t>sales_section_amounts</t>
    <phoneticPr fontId="12"/>
  </si>
  <si>
    <t>sales_section_amount_id</t>
    <phoneticPr fontId="12"/>
  </si>
  <si>
    <t>recorded_flag</t>
    <phoneticPr fontId="12"/>
  </si>
  <si>
    <t>0：未 1：済</t>
    <phoneticPr fontId="12"/>
  </si>
  <si>
    <t>monthly_closing_on</t>
    <phoneticPr fontId="12"/>
  </si>
  <si>
    <t>billing_on</t>
    <phoneticPr fontId="12"/>
  </si>
  <si>
    <t>received_on</t>
    <phoneticPr fontId="12"/>
  </si>
  <si>
    <t>inspection_on</t>
    <phoneticPr fontId="12"/>
  </si>
  <si>
    <t>crearing_on</t>
    <phoneticPr fontId="12"/>
  </si>
  <si>
    <t>issued_type</t>
    <phoneticPr fontId="12"/>
  </si>
  <si>
    <t>0:初回発行,1:再発行</t>
    <phoneticPr fontId="12"/>
  </si>
  <si>
    <t>export_type</t>
    <phoneticPr fontId="12"/>
  </si>
  <si>
    <t>issue_type</t>
    <phoneticPr fontId="12"/>
  </si>
  <si>
    <t>operation_costs</t>
    <phoneticPr fontId="12"/>
  </si>
  <si>
    <t>operation_cost_id</t>
    <phoneticPr fontId="12"/>
  </si>
  <si>
    <t>12桁以内,少数なし,得意先別発送費金額履歴.cost の合算値</t>
    <phoneticPr fontId="12"/>
  </si>
  <si>
    <t>部署コードマスタ.section_cd_id　FK制約cascade</t>
    <phoneticPr fontId="12"/>
  </si>
  <si>
    <t>得意先マスタ.customer_id　FK制約cascade</t>
    <phoneticPr fontId="12"/>
  </si>
  <si>
    <t>部署コードマスタ.section_cd_id　FK制約restrict</t>
    <phoneticPr fontId="12"/>
  </si>
  <si>
    <t>社員マスタ.employee_id　FK制約restrict</t>
    <phoneticPr fontId="12"/>
  </si>
  <si>
    <t>得意先マスタ.customer_id　FK制約restrict</t>
    <phoneticPr fontId="12"/>
  </si>
  <si>
    <t>見積.quot_id　FK制約restrict</t>
    <phoneticPr fontId="12"/>
  </si>
  <si>
    <t>社員マスタ.employee_id FK制約restrict</t>
    <phoneticPr fontId="12"/>
  </si>
  <si>
    <t>False:編集デザイン作業なし,
True:編集デザイン作業あり</t>
    <phoneticPr fontId="12"/>
  </si>
  <si>
    <t>受注.order_id　FK制約cascade</t>
    <phoneticPr fontId="12"/>
  </si>
  <si>
    <t>作業部門マスタ.operation_id　FK制約restrict</t>
    <phoneticPr fontId="12"/>
  </si>
  <si>
    <t>0:他部署間</t>
    <phoneticPr fontId="12"/>
  </si>
  <si>
    <t>customer_id</t>
    <phoneticPr fontId="12"/>
  </si>
  <si>
    <t>受注.order_id　FK制約restrict</t>
    <phoneticPr fontId="12"/>
  </si>
  <si>
    <t>delivery_id</t>
    <phoneticPr fontId="12"/>
  </si>
  <si>
    <t>納品.delivery_id　FK制約cascade</t>
    <phoneticPr fontId="12"/>
  </si>
  <si>
    <t>納品.delivery_id　FK制約restrict</t>
    <phoneticPr fontId="12"/>
  </si>
  <si>
    <t>請求.billing_id　FK制約cascade</t>
    <phoneticPr fontId="12"/>
  </si>
  <si>
    <t>請求.billing_id　FK制約restrict</t>
    <phoneticPr fontId="12"/>
  </si>
  <si>
    <t>部署コードマスタ.section_cd_id　FK制御restrict</t>
    <phoneticPr fontId="12"/>
  </si>
  <si>
    <t>得意先別発送費.customer_ship_cost_id　FK制御cascade</t>
    <phoneticPr fontId="12"/>
  </si>
  <si>
    <t>section_cd_id</t>
    <phoneticPr fontId="12"/>
  </si>
  <si>
    <t>2025年12月18日</t>
    <phoneticPr fontId="12"/>
  </si>
  <si>
    <t>11</t>
    <phoneticPr fontId="12"/>
  </si>
  <si>
    <t>1.0.11</t>
    <phoneticPr fontId="12"/>
  </si>
  <si>
    <t>10</t>
    <phoneticPr fontId="12"/>
  </si>
  <si>
    <t>・詳細設計チェック表_別紙にて指摘された内容を修正</t>
    <rPh sb="1" eb="5">
      <t>ショウサイセッケイ</t>
    </rPh>
    <rPh sb="9" eb="10">
      <t>ヒョウ</t>
    </rPh>
    <rPh sb="11" eb="13">
      <t>ベッシ</t>
    </rPh>
    <rPh sb="15" eb="17">
      <t>シテキ</t>
    </rPh>
    <rPh sb="20" eb="22">
      <t>ナイヨウ</t>
    </rPh>
    <rPh sb="23" eb="25">
      <t>シュウセイ</t>
    </rPh>
    <phoneticPr fontId="12"/>
  </si>
  <si>
    <t>・物理名のスペルミスを修正</t>
    <rPh sb="1" eb="4">
      <t>ブツリメイ</t>
    </rPh>
    <rPh sb="11" eb="13">
      <t>シュウセイ</t>
    </rPh>
    <phoneticPr fontId="12"/>
  </si>
  <si>
    <t>・備考欄で「テーブル名.id」となっているものを「テーブル名.テーブルの物理名_id」に変更</t>
    <rPh sb="1" eb="4">
      <t>ビコウラン</t>
    </rPh>
    <rPh sb="10" eb="11">
      <t>メイ</t>
    </rPh>
    <rPh sb="29" eb="30">
      <t>メイ</t>
    </rPh>
    <rPh sb="36" eb="39">
      <t>ブツリメイ</t>
    </rPh>
    <rPh sb="44" eb="46">
      <t>ヘンコウ</t>
    </rPh>
    <phoneticPr fontId="1"/>
  </si>
  <si>
    <t>1</t>
    <phoneticPr fontId="12"/>
  </si>
  <si>
    <t>120</t>
    <phoneticPr fontId="12"/>
  </si>
  <si>
    <t>12</t>
    <phoneticPr fontId="12"/>
  </si>
  <si>
    <t>1.0.12</t>
    <phoneticPr fontId="12"/>
  </si>
  <si>
    <t>2025年12月24日</t>
    <phoneticPr fontId="12"/>
  </si>
  <si>
    <t>・製品在庫金額</t>
    <phoneticPr fontId="12"/>
  </si>
  <si>
    <t>在庫種別</t>
    <rPh sb="0" eb="2">
      <t>ザイコ</t>
    </rPh>
    <phoneticPr fontId="12"/>
  </si>
  <si>
    <t>・製品在庫金額集計</t>
    <phoneticPr fontId="12"/>
  </si>
  <si>
    <t>prod_inv_type</t>
    <phoneticPr fontId="12"/>
  </si>
  <si>
    <t>・社内仕入履歴</t>
    <phoneticPr fontId="12"/>
  </si>
  <si>
    <t>・得意先別倉庫料</t>
    <phoneticPr fontId="12"/>
  </si>
  <si>
    <t>recorded_flag</t>
    <phoneticPr fontId="12"/>
  </si>
  <si>
    <t>customer_name</t>
    <phoneticPr fontId="12"/>
  </si>
  <si>
    <t>得意先コードが33900（諸口）の時のみ入力</t>
    <phoneticPr fontId="12"/>
  </si>
  <si>
    <t>得意先コードが33900（諸口）のときのみ入力</t>
    <phoneticPr fontId="12"/>
  </si>
  <si>
    <t>・製品在庫金額集計の「種別」を「在庫種別」へ修正</t>
    <phoneticPr fontId="12"/>
  </si>
  <si>
    <t>・社内仕入履歴の仕入取消区部のデータ型を修正</t>
    <rPh sb="8" eb="14">
      <t>シイレトリケシクブ</t>
    </rPh>
    <rPh sb="18" eb="19">
      <t>カタ</t>
    </rPh>
    <rPh sb="20" eb="22">
      <t>シュウセイ</t>
    </rPh>
    <phoneticPr fontId="12"/>
  </si>
  <si>
    <t>・得意先別倉庫料の月次処理計上済みフラグの物理名とデータ型を修正</t>
    <rPh sb="21" eb="24">
      <t>ブツリメイ</t>
    </rPh>
    <rPh sb="28" eb="29">
      <t>カタ</t>
    </rPh>
    <rPh sb="30" eb="32">
      <t>シュウセイ</t>
    </rPh>
    <phoneticPr fontId="12"/>
  </si>
  <si>
    <t>・見積に得意先名レコードを追加</t>
    <rPh sb="1" eb="3">
      <t>ミツモリ</t>
    </rPh>
    <rPh sb="4" eb="8">
      <t>トクイサキメイ</t>
    </rPh>
    <rPh sb="13" eb="15">
      <t>ツイカ</t>
    </rPh>
    <phoneticPr fontId="12"/>
  </si>
  <si>
    <t>・受注の得意先名のFKフラグを削除、備考欄を修正</t>
    <rPh sb="1" eb="3">
      <t>ジュチュウ</t>
    </rPh>
    <rPh sb="4" eb="7">
      <t>トクイサキ</t>
    </rPh>
    <rPh sb="7" eb="8">
      <t>メイ</t>
    </rPh>
    <rPh sb="15" eb="17">
      <t>サクジョ</t>
    </rPh>
    <rPh sb="18" eb="21">
      <t>ビコウラン</t>
    </rPh>
    <rPh sb="22" eb="24">
      <t>シュウセイ</t>
    </rPh>
    <phoneticPr fontId="12"/>
  </si>
  <si>
    <t>2025年12月26日</t>
    <phoneticPr fontId="12"/>
  </si>
  <si>
    <t>計画値取込id</t>
    <phoneticPr fontId="12"/>
  </si>
  <si>
    <t>計画値取込.plan_import_id　FK制約restrict</t>
    <phoneticPr fontId="12"/>
  </si>
  <si>
    <t>●</t>
    <phoneticPr fontId="12"/>
  </si>
  <si>
    <t>部署別売上計画</t>
    <rPh sb="3" eb="5">
      <t>ウリアゲ</t>
    </rPh>
    <phoneticPr fontId="12"/>
  </si>
  <si>
    <t>section_sale_plans</t>
    <phoneticPr fontId="12"/>
  </si>
  <si>
    <t>section_sale_plan_id</t>
    <phoneticPr fontId="12"/>
  </si>
  <si>
    <t>部署別売上計画id</t>
    <rPh sb="3" eb="5">
      <t>ウリアゲ</t>
    </rPh>
    <phoneticPr fontId="12"/>
  </si>
  <si>
    <t>売上部署id</t>
    <rPh sb="0" eb="2">
      <t>ウリアゲ</t>
    </rPh>
    <phoneticPr fontId="12"/>
  </si>
  <si>
    <t>売上金額計画値</t>
    <rPh sb="0" eb="2">
      <t>ウリアゲ</t>
    </rPh>
    <phoneticPr fontId="12"/>
  </si>
  <si>
    <t>planned_sale_amount</t>
    <phoneticPr fontId="12"/>
  </si>
  <si>
    <t>・部署別売上計画</t>
    <phoneticPr fontId="12"/>
  </si>
  <si>
    <t>・計画値取込</t>
    <phoneticPr fontId="12"/>
  </si>
  <si>
    <t>・部署別受注計画</t>
    <phoneticPr fontId="12"/>
  </si>
  <si>
    <t>1.0.13</t>
    <phoneticPr fontId="12"/>
  </si>
  <si>
    <t>・部署別売上計画テーブルを追加</t>
    <rPh sb="1" eb="6">
      <t>ブショベツウリアゲ</t>
    </rPh>
    <rPh sb="6" eb="8">
      <t>ケイカク</t>
    </rPh>
    <rPh sb="13" eb="15">
      <t>ツイカ</t>
    </rPh>
    <phoneticPr fontId="12"/>
  </si>
  <si>
    <t>・計画値取込テーブルから対象部署id・金額・ファイル名を削除</t>
    <rPh sb="1" eb="6">
      <t>ケイカクチトリコミ</t>
    </rPh>
    <rPh sb="28" eb="30">
      <t>サクジョ</t>
    </rPh>
    <phoneticPr fontId="12"/>
  </si>
  <si>
    <t>・部署別受注計画に計画値取込idを追加</t>
    <rPh sb="9" eb="14">
      <t>ケイカクチトリコミ</t>
    </rPh>
    <rPh sb="17" eb="19">
      <t>ツイカ</t>
    </rPh>
    <phoneticPr fontId="12"/>
  </si>
  <si>
    <t>CURRENT_TIMESTAMP</t>
    <phoneticPr fontId="12"/>
  </si>
  <si>
    <t>13</t>
    <phoneticPr fontId="12"/>
  </si>
  <si>
    <t>2026年1月5日</t>
    <phoneticPr fontId="12"/>
  </si>
  <si>
    <t>14</t>
    <phoneticPr fontId="12"/>
  </si>
  <si>
    <t>1.0.14</t>
    <phoneticPr fontId="12"/>
  </si>
  <si>
    <t>・部署別売上計画</t>
  </si>
  <si>
    <t>・部署別受注計画・部署別売上計画テーブルの更新日の備考から「ON」を削除</t>
    <rPh sb="1" eb="3">
      <t>ブショ</t>
    </rPh>
    <rPh sb="3" eb="4">
      <t>ベツ</t>
    </rPh>
    <rPh sb="4" eb="6">
      <t>ジュチュウ</t>
    </rPh>
    <rPh sb="6" eb="8">
      <t>ケイカク</t>
    </rPh>
    <rPh sb="9" eb="16">
      <t>ブショベツウリアゲケイカク</t>
    </rPh>
    <rPh sb="21" eb="24">
      <t>コウシンビ</t>
    </rPh>
    <rPh sb="25" eb="27">
      <t>ビコウ</t>
    </rPh>
    <rPh sb="34" eb="36">
      <t>サクジョ</t>
    </rPh>
    <phoneticPr fontId="12"/>
  </si>
  <si>
    <t>・部署別売上計画テーブルから差益率計画値を削除</t>
    <rPh sb="1" eb="8">
      <t>ブショベツウリアゲケイカク</t>
    </rPh>
    <rPh sb="14" eb="20">
      <t>サエキリツケイカクチ</t>
    </rPh>
    <rPh sb="21" eb="23">
      <t>サクジョ</t>
    </rPh>
    <phoneticPr fontId="12"/>
  </si>
  <si>
    <t>15</t>
    <phoneticPr fontId="12"/>
  </si>
  <si>
    <t>1.0.15</t>
    <phoneticPr fontId="12"/>
  </si>
  <si>
    <t>・作業部門別見積</t>
    <rPh sb="1" eb="3">
      <t>サギョウ</t>
    </rPh>
    <rPh sb="3" eb="6">
      <t>ブモンベツ</t>
    </rPh>
    <rPh sb="6" eb="8">
      <t>ミツモリ</t>
    </rPh>
    <phoneticPr fontId="12"/>
  </si>
  <si>
    <t>2026年1月6日</t>
    <rPh sb="4" eb="5">
      <t>ネン</t>
    </rPh>
    <rPh sb="6" eb="7">
      <t>ガツ</t>
    </rPh>
    <rPh sb="8" eb="9">
      <t>ニチ</t>
    </rPh>
    <phoneticPr fontId="12"/>
  </si>
  <si>
    <t>栄　幸祐</t>
    <rPh sb="0" eb="1">
      <t>サカエ</t>
    </rPh>
    <rPh sb="2" eb="4">
      <t>コウスケ</t>
    </rPh>
    <phoneticPr fontId="12"/>
  </si>
  <si>
    <t>・作業部門別見積テーブル追加</t>
    <rPh sb="1" eb="3">
      <t>サギョウ</t>
    </rPh>
    <rPh sb="3" eb="6">
      <t>ブモンベツ</t>
    </rPh>
    <rPh sb="6" eb="8">
      <t>ミツモリ</t>
    </rPh>
    <rPh sb="12" eb="14">
      <t>ツイカ</t>
    </rPh>
    <phoneticPr fontId="12"/>
  </si>
  <si>
    <t>作業部門別の見積金額を管理するテーブル</t>
    <rPh sb="0" eb="2">
      <t>サギョウ</t>
    </rPh>
    <rPh sb="2" eb="4">
      <t>ブモン</t>
    </rPh>
    <rPh sb="4" eb="5">
      <t>ベツ</t>
    </rPh>
    <rPh sb="6" eb="10">
      <t>ミツモリキンガク</t>
    </rPh>
    <rPh sb="11" eb="13">
      <t>カンリ</t>
    </rPh>
    <phoneticPr fontId="12"/>
  </si>
  <si>
    <t>作業部門別見積</t>
    <rPh sb="5" eb="7">
      <t>ミツモリ</t>
    </rPh>
    <phoneticPr fontId="12"/>
  </si>
  <si>
    <t>quot_operations</t>
    <phoneticPr fontId="12"/>
  </si>
  <si>
    <t>2026年1月6日</t>
    <phoneticPr fontId="12"/>
  </si>
  <si>
    <t>作業部門別見積id</t>
    <rPh sb="5" eb="7">
      <t>ミツモリ</t>
    </rPh>
    <phoneticPr fontId="12"/>
  </si>
  <si>
    <t>見積id</t>
    <rPh sb="0" eb="2">
      <t>ミツモリ</t>
    </rPh>
    <phoneticPr fontId="12"/>
  </si>
  <si>
    <t>quot_operation_id</t>
    <phoneticPr fontId="12"/>
  </si>
  <si>
    <t>quot_id</t>
    <phoneticPr fontId="12"/>
  </si>
  <si>
    <t>見積.quot_id　FK制約cascade</t>
    <rPh sb="0" eb="2">
      <t>ミツモリ</t>
    </rPh>
    <phoneticPr fontId="12"/>
  </si>
  <si>
    <t>作業部門id</t>
    <rPh sb="0" eb="2">
      <t>サギョウ</t>
    </rPh>
    <rPh sb="2" eb="4">
      <t>ブモン</t>
    </rPh>
    <phoneticPr fontId="12"/>
  </si>
  <si>
    <t>operation_id</t>
    <phoneticPr fontId="12"/>
  </si>
  <si>
    <t>作業部門マスタ.operation_id FK制約restrict</t>
    <rPh sb="23" eb="25">
      <t>セイヤク</t>
    </rPh>
    <phoneticPr fontId="12"/>
  </si>
  <si>
    <t>見積金額</t>
    <rPh sb="0" eb="4">
      <t>ミツモリキンガク</t>
    </rPh>
    <phoneticPr fontId="12"/>
  </si>
  <si>
    <t>見積書発行履歴</t>
    <rPh sb="3" eb="5">
      <t>ハッコウ</t>
    </rPh>
    <rPh sb="5" eb="7">
      <t>リレキ</t>
    </rPh>
    <phoneticPr fontId="12"/>
  </si>
  <si>
    <t>見積書の発行履歴を管理するテーブル</t>
    <rPh sb="4" eb="6">
      <t>ハッコウ</t>
    </rPh>
    <rPh sb="6" eb="8">
      <t>リレキ</t>
    </rPh>
    <phoneticPr fontId="12"/>
  </si>
  <si>
    <t>quot_issue_log</t>
    <phoneticPr fontId="12"/>
  </si>
  <si>
    <t>見積書発行履歴id</t>
    <rPh sb="3" eb="5">
      <t>ハッコウ</t>
    </rPh>
    <rPh sb="5" eb="7">
      <t>リレキ</t>
    </rPh>
    <phoneticPr fontId="12"/>
  </si>
  <si>
    <t>quot_issue_log_id</t>
    <phoneticPr fontId="12"/>
  </si>
  <si>
    <t>・見積書発行履歴</t>
    <rPh sb="1" eb="4">
      <t>ミツモリショ</t>
    </rPh>
    <rPh sb="4" eb="6">
      <t>ハッコウ</t>
    </rPh>
    <rPh sb="6" eb="8">
      <t>リレキ</t>
    </rPh>
    <phoneticPr fontId="12"/>
  </si>
  <si>
    <t>・見積書発行履歴(旧見積書)修正</t>
    <rPh sb="1" eb="4">
      <t>ミツモリショ</t>
    </rPh>
    <rPh sb="4" eb="6">
      <t>ハッコウ</t>
    </rPh>
    <rPh sb="6" eb="8">
      <t>リレキ</t>
    </rPh>
    <rPh sb="9" eb="10">
      <t>キュウ</t>
    </rPh>
    <rPh sb="10" eb="13">
      <t>ミツモリショ</t>
    </rPh>
    <rPh sb="14" eb="16">
      <t>シュウセイ</t>
    </rPh>
    <phoneticPr fontId="12"/>
  </si>
  <si>
    <t>2026年1月8日</t>
    <phoneticPr fontId="12"/>
  </si>
  <si>
    <t>16</t>
    <phoneticPr fontId="12"/>
  </si>
  <si>
    <t>1.0.16</t>
    <phoneticPr fontId="12"/>
  </si>
  <si>
    <t>2026年1月8日</t>
    <rPh sb="4" eb="5">
      <t>ネン</t>
    </rPh>
    <rPh sb="6" eb="7">
      <t>ガツ</t>
    </rPh>
    <rPh sb="8" eb="9">
      <t>ニチ</t>
    </rPh>
    <phoneticPr fontId="12"/>
  </si>
  <si>
    <t>・フォーマット整理</t>
    <rPh sb="7" eb="9">
      <t>セイリ</t>
    </rPh>
    <phoneticPr fontId="12"/>
  </si>
  <si>
    <t>見積書発行履歴</t>
  </si>
  <si>
    <t>作業部門別見積</t>
  </si>
  <si>
    <t>計画値取込で取込を行った部署別の売上計画値を管理するテーブル</t>
    <rPh sb="16" eb="18">
      <t>ウリアゲ</t>
    </rPh>
    <phoneticPr fontId="12"/>
  </si>
  <si>
    <t>部署別売上計画</t>
  </si>
  <si>
    <t>・テーブル一覧に部署別売上計画追加</t>
    <rPh sb="5" eb="7">
      <t>イチラン</t>
    </rPh>
    <rPh sb="8" eb="11">
      <t>ブショベツ</t>
    </rPh>
    <rPh sb="11" eb="13">
      <t>ウリアゲ</t>
    </rPh>
    <rPh sb="13" eb="15">
      <t>ケイカク</t>
    </rPh>
    <rPh sb="15" eb="17">
      <t>ツイカ</t>
    </rPh>
    <phoneticPr fontId="12"/>
  </si>
  <si>
    <t>・基準価格統一対応</t>
    <rPh sb="1" eb="5">
      <t>キジュンカカク</t>
    </rPh>
    <rPh sb="5" eb="7">
      <t>トウイツ</t>
    </rPh>
    <rPh sb="7" eb="9">
      <t>タイオウ</t>
    </rPh>
    <phoneticPr fontId="12"/>
  </si>
  <si>
    <t>基準価格</t>
    <rPh sb="2" eb="4">
      <t>カカク</t>
    </rPh>
    <phoneticPr fontId="12"/>
  </si>
  <si>
    <t>初回基準価格</t>
    <rPh sb="4" eb="6">
      <t>カカク</t>
    </rPh>
    <phoneticPr fontId="12"/>
  </si>
  <si>
    <t>12桁以内,少数なし　最終基準価格</t>
    <rPh sb="15" eb="17">
      <t>カカク</t>
    </rPh>
    <phoneticPr fontId="12"/>
  </si>
  <si>
    <t>・部署別売上計画に差益率計画値追加</t>
    <rPh sb="1" eb="4">
      <t>ブショベツ</t>
    </rPh>
    <rPh sb="4" eb="6">
      <t>ウリアゲ</t>
    </rPh>
    <rPh sb="6" eb="8">
      <t>ケイカク</t>
    </rPh>
    <rPh sb="9" eb="11">
      <t>サエキ</t>
    </rPh>
    <rPh sb="11" eb="12">
      <t>リツ</t>
    </rPh>
    <rPh sb="12" eb="15">
      <t>ケイカクチ</t>
    </rPh>
    <rPh sb="15" eb="17">
      <t>ツイカ</t>
    </rPh>
    <phoneticPr fontId="12"/>
  </si>
  <si>
    <t>・部署別売上計画</t>
    <rPh sb="1" eb="4">
      <t>ブショベツ</t>
    </rPh>
    <rPh sb="4" eb="6">
      <t>ウリアゲ</t>
    </rPh>
    <rPh sb="6" eb="8">
      <t>ケイカク</t>
    </rPh>
    <phoneticPr fontId="12"/>
  </si>
  <si>
    <t>調整基準価格</t>
    <rPh sb="4" eb="6">
      <t>カカク</t>
    </rPh>
    <phoneticPr fontId="12"/>
  </si>
  <si>
    <t>・得意先別発送費更新履歴</t>
    <rPh sb="1" eb="4">
      <t>トクイサキ</t>
    </rPh>
    <rPh sb="4" eb="5">
      <t>ベツ</t>
    </rPh>
    <rPh sb="5" eb="8">
      <t>ハッソウヒ</t>
    </rPh>
    <rPh sb="8" eb="12">
      <t>コウシンリレキ</t>
    </rPh>
    <phoneticPr fontId="12"/>
  </si>
  <si>
    <t>・詳細設計チェック表 No.92対応</t>
    <rPh sb="1" eb="10">
      <t>ショウサイ</t>
    </rPh>
    <rPh sb="16" eb="18">
      <t>タイオウ</t>
    </rPh>
    <phoneticPr fontId="12"/>
  </si>
  <si>
    <t>受注情報登録時の基準価格及び受注金額を管理するテーブル</t>
    <rPh sb="10" eb="12">
      <t>カカク</t>
    </rPh>
    <phoneticPr fontId="12"/>
  </si>
  <si>
    <t>得意先名</t>
    <rPh sb="0" eb="3">
      <t>トクイサキ</t>
    </rPh>
    <rPh sb="3" eb="4">
      <t>メイ</t>
    </rPh>
    <phoneticPr fontId="12"/>
  </si>
  <si>
    <t>参考資料</t>
    <rPh sb="0" eb="4">
      <t>サンコウシリョウ</t>
    </rPh>
    <phoneticPr fontId="12"/>
  </si>
  <si>
    <t>reference_doc_path</t>
    <phoneticPr fontId="12"/>
  </si>
  <si>
    <t>255</t>
    <phoneticPr fontId="12"/>
  </si>
  <si>
    <t>255桁以内</t>
    <rPh sb="3" eb="4">
      <t>ケタ</t>
    </rPh>
    <rPh sb="4" eb="6">
      <t>イナイ</t>
    </rPh>
    <phoneticPr fontId="12"/>
  </si>
  <si>
    <t>2026年1月12日</t>
    <phoneticPr fontId="12"/>
  </si>
  <si>
    <t>17</t>
    <phoneticPr fontId="12"/>
  </si>
  <si>
    <t>1.0.17</t>
    <phoneticPr fontId="12"/>
  </si>
  <si>
    <t>2026年1月12日</t>
    <rPh sb="4" eb="5">
      <t>ネン</t>
    </rPh>
    <rPh sb="6" eb="7">
      <t>ガツ</t>
    </rPh>
    <rPh sb="9" eb="10">
      <t>ニチ</t>
    </rPh>
    <phoneticPr fontId="12"/>
  </si>
  <si>
    <t>・見積に下記のカラムを追加</t>
    <rPh sb="1" eb="3">
      <t>ミツモリ</t>
    </rPh>
    <rPh sb="4" eb="6">
      <t>カキ</t>
    </rPh>
    <rPh sb="11" eb="13">
      <t>ツイカ</t>
    </rPh>
    <phoneticPr fontId="12"/>
  </si>
  <si>
    <t>・参考資料</t>
    <rPh sb="1" eb="5">
      <t>サンコウシリョウ</t>
    </rPh>
    <phoneticPr fontId="12"/>
  </si>
  <si>
    <t>半角数字2桁
00:未定
10:メール,
20:郵送,
30:持参</t>
    <rPh sb="10" eb="12">
      <t>ミテイ</t>
    </rPh>
    <phoneticPr fontId="12"/>
  </si>
  <si>
    <t>00:未定</t>
    <rPh sb="3" eb="5">
      <t>ミテイ</t>
    </rPh>
    <phoneticPr fontId="12"/>
  </si>
  <si>
    <t>・見積の下記カラムの備考を修正</t>
    <rPh sb="1" eb="3">
      <t>ミツモリ</t>
    </rPh>
    <rPh sb="4" eb="6">
      <t>カキ</t>
    </rPh>
    <rPh sb="10" eb="12">
      <t>ビコウ</t>
    </rPh>
    <rPh sb="13" eb="15">
      <t>シュウセイ</t>
    </rPh>
    <phoneticPr fontId="12"/>
  </si>
  <si>
    <t>・提出方法</t>
    <rPh sb="1" eb="5">
      <t>テイシュツホウホウ</t>
    </rPh>
    <phoneticPr fontId="12"/>
  </si>
  <si>
    <t>・見積の下記カラムのnotnullを削除</t>
    <rPh sb="1" eb="3">
      <t>ミツモリ</t>
    </rPh>
    <rPh sb="4" eb="6">
      <t>カキ</t>
    </rPh>
    <rPh sb="18" eb="20">
      <t>サクジョ</t>
    </rPh>
    <phoneticPr fontId="12"/>
  </si>
  <si>
    <t>・見積件名</t>
    <rPh sb="1" eb="3">
      <t>ミツモリ</t>
    </rPh>
    <rPh sb="3" eb="5">
      <t>ケンメイ</t>
    </rPh>
    <phoneticPr fontId="12"/>
  </si>
  <si>
    <t>・品名</t>
    <rPh sb="1" eb="3">
      <t>ヒンメイ</t>
    </rPh>
    <phoneticPr fontId="12"/>
  </si>
  <si>
    <t>・見積概要</t>
    <rPh sb="1" eb="3">
      <t>ミツモリ</t>
    </rPh>
    <rPh sb="3" eb="5">
      <t>ガイヨウ</t>
    </rPh>
    <phoneticPr fontId="12"/>
  </si>
  <si>
    <t>・主管センターid</t>
    <rPh sb="1" eb="3">
      <t>シュカン</t>
    </rPh>
    <phoneticPr fontId="12"/>
  </si>
  <si>
    <t>・見積の下記カラムにnotnullを追加</t>
    <rPh sb="1" eb="3">
      <t>ミツモリ</t>
    </rPh>
    <rPh sb="4" eb="9">
      <t>カキ</t>
    </rPh>
    <rPh sb="18" eb="20">
      <t>ツイカ</t>
    </rPh>
    <phoneticPr fontId="12"/>
  </si>
  <si>
    <t>・見積書発行履歴から下記のカラムを削除</t>
    <rPh sb="1" eb="4">
      <t>ミツモリショ</t>
    </rPh>
    <rPh sb="4" eb="6">
      <t>ハッコウ</t>
    </rPh>
    <rPh sb="6" eb="8">
      <t>リレキ</t>
    </rPh>
    <rPh sb="10" eb="12">
      <t>カキ</t>
    </rPh>
    <rPh sb="17" eb="19">
      <t>サクジョ</t>
    </rPh>
    <phoneticPr fontId="12"/>
  </si>
  <si>
    <t>・更新日</t>
    <rPh sb="1" eb="4">
      <t>コウシンビ</t>
    </rPh>
    <phoneticPr fontId="12"/>
  </si>
  <si>
    <t>制作見積ステータス</t>
    <rPh sb="0" eb="4">
      <t>セイサ</t>
    </rPh>
    <phoneticPr fontId="12"/>
  </si>
  <si>
    <t>prod_quot_status</t>
    <phoneticPr fontId="12"/>
  </si>
  <si>
    <t>00:制作見積依頼前</t>
    <rPh sb="3" eb="5">
      <t>セイサク</t>
    </rPh>
    <rPh sb="5" eb="7">
      <t>ミツモリ</t>
    </rPh>
    <rPh sb="7" eb="9">
      <t>イライ</t>
    </rPh>
    <rPh sb="9" eb="10">
      <t>マエ</t>
    </rPh>
    <phoneticPr fontId="12"/>
  </si>
  <si>
    <t>半角数字2桁
00:制作見積依頼前,
10:制作見積依頼済,
20:制作見積済,
30:制作見積受取済</t>
    <rPh sb="10" eb="14">
      <t>セイサ</t>
    </rPh>
    <rPh sb="14" eb="16">
      <t>イライ</t>
    </rPh>
    <rPh sb="16" eb="17">
      <t>マエ</t>
    </rPh>
    <rPh sb="38" eb="39">
      <t>ズ</t>
    </rPh>
    <rPh sb="48" eb="50">
      <t>ウケトリ</t>
    </rPh>
    <rPh sb="50" eb="51">
      <t>ズ</t>
    </rPh>
    <phoneticPr fontId="12"/>
  </si>
  <si>
    <t>見積ステータス</t>
    <rPh sb="0" eb="2">
      <t>ミツモリ</t>
    </rPh>
    <phoneticPr fontId="12"/>
  </si>
  <si>
    <t>00:作成中</t>
    <rPh sb="3" eb="5">
      <t>サクセイ</t>
    </rPh>
    <rPh sb="5" eb="6">
      <t>チュウ</t>
    </rPh>
    <phoneticPr fontId="12"/>
  </si>
  <si>
    <t>半角数字2桁
00:作成中,
10:承認待ち,
20:承認済,
30:発行済</t>
    <rPh sb="10" eb="13">
      <t>サクセイチュウ</t>
    </rPh>
    <phoneticPr fontId="12"/>
  </si>
  <si>
    <t>流用元見積id</t>
    <rPh sb="0" eb="2">
      <t>リュウヨウ</t>
    </rPh>
    <rPh sb="2" eb="3">
      <t>モト</t>
    </rPh>
    <rPh sb="3" eb="5">
      <t>ミツモリ</t>
    </rPh>
    <phoneticPr fontId="12"/>
  </si>
  <si>
    <t>base_quot_id</t>
    <phoneticPr fontId="12"/>
  </si>
  <si>
    <t>見積.quot_id FK制約restrict</t>
    <rPh sb="0" eb="2">
      <t>ミツモリ</t>
    </rPh>
    <rPh sb="13" eb="15">
      <t>セイヤク</t>
    </rPh>
    <phoneticPr fontId="12"/>
  </si>
  <si>
    <t>2026年1月16日</t>
    <phoneticPr fontId="12"/>
  </si>
  <si>
    <t>・見積書発行履歴</t>
    <rPh sb="1" eb="3">
      <t>ミツモリ</t>
    </rPh>
    <rPh sb="3" eb="4">
      <t>ショ</t>
    </rPh>
    <rPh sb="4" eb="6">
      <t>ハッコウ</t>
    </rPh>
    <rPh sb="6" eb="8">
      <t>リレキ</t>
    </rPh>
    <phoneticPr fontId="12"/>
  </si>
  <si>
    <t>18</t>
    <phoneticPr fontId="12"/>
  </si>
  <si>
    <t>1.0.18</t>
    <phoneticPr fontId="12"/>
  </si>
  <si>
    <t>・見積テーブルを修正</t>
    <rPh sb="1" eb="3">
      <t>ミツモリ</t>
    </rPh>
    <rPh sb="8" eb="10">
      <t>シュウセイ</t>
    </rPh>
    <phoneticPr fontId="12"/>
  </si>
  <si>
    <t>基準価格</t>
    <rPh sb="0" eb="4">
      <t>キジュンカカク</t>
    </rPh>
    <phoneticPr fontId="12"/>
  </si>
  <si>
    <t>・作業部門別見積テーブルを修正</t>
    <rPh sb="1" eb="3">
      <t>サ</t>
    </rPh>
    <rPh sb="3" eb="6">
      <t>ブモンベツ</t>
    </rPh>
    <rPh sb="6" eb="8">
      <t>ミツモリ</t>
    </rPh>
    <rPh sb="13" eb="15">
      <t>シュウセイ</t>
    </rPh>
    <phoneticPr fontId="12"/>
  </si>
  <si>
    <t>旧発生部署id</t>
    <rPh sb="0" eb="1">
      <t>キュウ</t>
    </rPh>
    <rPh sb="1" eb="3">
      <t>ハッセイ</t>
    </rPh>
    <rPh sb="3" eb="5">
      <t>ブショ</t>
    </rPh>
    <phoneticPr fontId="12"/>
  </si>
  <si>
    <t>old_section_cd_id</t>
    <phoneticPr fontId="12"/>
  </si>
  <si>
    <t>旧発生部署id</t>
    <rPh sb="0" eb="1">
      <t>キュウ</t>
    </rPh>
    <rPh sb="1" eb="5">
      <t>ハッセイ</t>
    </rPh>
    <phoneticPr fontId="12"/>
  </si>
  <si>
    <t>・得意先別倉庫料テーブルを修正</t>
    <rPh sb="1" eb="4">
      <t>トクイサキ</t>
    </rPh>
    <rPh sb="4" eb="5">
      <t>ベツ</t>
    </rPh>
    <rPh sb="5" eb="7">
      <t>ソウコ</t>
    </rPh>
    <rPh sb="7" eb="8">
      <t>リョウ</t>
    </rPh>
    <rPh sb="13" eb="15">
      <t>シュウセイ</t>
    </rPh>
    <phoneticPr fontId="12"/>
  </si>
  <si>
    <t>・得意先別発送費テーブルを修正</t>
    <rPh sb="1" eb="4">
      <t>トクイサキ</t>
    </rPh>
    <rPh sb="4" eb="5">
      <t>ベツ</t>
    </rPh>
    <rPh sb="5" eb="8">
      <t>ハッソウヒ</t>
    </rPh>
    <rPh sb="13" eb="15">
      <t>シュウセイ</t>
    </rPh>
    <phoneticPr fontId="12"/>
  </si>
  <si>
    <t>・見積、制作見積を別軸として再検討</t>
    <rPh sb="1" eb="3">
      <t>ミツモリ</t>
    </rPh>
    <rPh sb="4" eb="6">
      <t>セイサク</t>
    </rPh>
    <rPh sb="6" eb="8">
      <t>ミツモリ</t>
    </rPh>
    <rPh sb="9" eb="11">
      <t>ベツジク</t>
    </rPh>
    <rPh sb="14" eb="17">
      <t>サイケントウ</t>
    </rPh>
    <phoneticPr fontId="12"/>
  </si>
  <si>
    <t>・基準価格を独立して保持するように変更</t>
    <rPh sb="1" eb="5">
      <t>キジュンカカク</t>
    </rPh>
    <rPh sb="6" eb="8">
      <t>ドクリツ</t>
    </rPh>
    <rPh sb="10" eb="12">
      <t>ホジ</t>
    </rPh>
    <rPh sb="17" eb="19">
      <t>ヘンコウ</t>
    </rPh>
    <phoneticPr fontId="12"/>
  </si>
  <si>
    <t>・旧営業部署用カラムを外部キーに変更</t>
    <rPh sb="1" eb="6">
      <t>キュウエイギョウブショ</t>
    </rPh>
    <rPh sb="6" eb="7">
      <t>ヨウ</t>
    </rPh>
    <rPh sb="11" eb="13">
      <t>ガイブ</t>
    </rPh>
    <rPh sb="16" eb="18">
      <t>ヘンコウ</t>
    </rPh>
    <phoneticPr fontId="12"/>
  </si>
  <si>
    <t>・得意先別発送費</t>
    <rPh sb="1" eb="4">
      <t>トクイサキ</t>
    </rPh>
    <rPh sb="4" eb="5">
      <t>ベツ</t>
    </rPh>
    <rPh sb="5" eb="8">
      <t>ハッソウヒ</t>
    </rPh>
    <phoneticPr fontId="12"/>
  </si>
  <si>
    <t>2026年1月16日</t>
    <rPh sb="4" eb="5">
      <t>ネン</t>
    </rPh>
    <rPh sb="6" eb="7">
      <t>ガツ</t>
    </rPh>
    <rPh sb="9" eb="10">
      <t>ニチ</t>
    </rPh>
    <phoneticPr fontId="12"/>
  </si>
  <si>
    <t>1.0.19</t>
    <phoneticPr fontId="12"/>
  </si>
  <si>
    <t>2026年1月18日</t>
    <rPh sb="4" eb="5">
      <t>ネン</t>
    </rPh>
    <rPh sb="6" eb="7">
      <t>ガツ</t>
    </rPh>
    <rPh sb="9" eb="10">
      <t>ニチ</t>
    </rPh>
    <phoneticPr fontId="12"/>
  </si>
  <si>
    <t>・見積書ファイルパスを追加</t>
    <rPh sb="1" eb="4">
      <t>ミツモリショ</t>
    </rPh>
    <rPh sb="11" eb="13">
      <t>ツイカ</t>
    </rPh>
    <phoneticPr fontId="12"/>
  </si>
  <si>
    <t>・見積書Noの規則を得意先コード+年月ごとの連番に修正</t>
    <rPh sb="1" eb="4">
      <t>ミツモリショ</t>
    </rPh>
    <rPh sb="7" eb="9">
      <t>キソク</t>
    </rPh>
    <rPh sb="10" eb="13">
      <t>トクイサキ</t>
    </rPh>
    <rPh sb="17" eb="19">
      <t>ネンゲツ</t>
    </rPh>
    <rPh sb="22" eb="24">
      <t>レンバン</t>
    </rPh>
    <rPh sb="25" eb="27">
      <t>シュウセイ</t>
    </rPh>
    <phoneticPr fontId="12"/>
  </si>
  <si>
    <t>見積書ファイルパス</t>
    <rPh sb="2" eb="3">
      <t>ショ</t>
    </rPh>
    <phoneticPr fontId="12"/>
  </si>
  <si>
    <t>quot_doc_path</t>
    <phoneticPr fontId="12"/>
  </si>
  <si>
    <t>・不要な書式設定の削除</t>
    <rPh sb="1" eb="3">
      <t>フヨウ</t>
    </rPh>
    <rPh sb="4" eb="8">
      <t>ショシキセッテイ</t>
    </rPh>
    <rPh sb="9" eb="11">
      <t>サクジョ</t>
    </rPh>
    <phoneticPr fontId="12"/>
  </si>
  <si>
    <t>伝達事項</t>
    <rPh sb="0" eb="2">
      <t>デンタツ</t>
    </rPh>
    <rPh sb="2" eb="4">
      <t>ジコウ</t>
    </rPh>
    <phoneticPr fontId="12"/>
  </si>
  <si>
    <t>・伝達事項を追加</t>
    <rPh sb="1" eb="3">
      <t>デンタツ</t>
    </rPh>
    <rPh sb="3" eb="5">
      <t>ジコウ</t>
    </rPh>
    <rPh sb="6" eb="8">
      <t>ツイカ</t>
    </rPh>
    <phoneticPr fontId="12"/>
  </si>
  <si>
    <t>19</t>
    <phoneticPr fontId="12"/>
  </si>
  <si>
    <t>message</t>
    <phoneticPr fontId="12"/>
  </si>
  <si>
    <t>2026年1月22日</t>
    <phoneticPr fontId="12"/>
  </si>
  <si>
    <t>20</t>
    <phoneticPr fontId="12"/>
  </si>
  <si>
    <t>1.0.20</t>
    <phoneticPr fontId="12"/>
  </si>
  <si>
    <t>2026年1月22日</t>
    <rPh sb="4" eb="5">
      <t>ネン</t>
    </rPh>
    <rPh sb="6" eb="7">
      <t>ガツ</t>
    </rPh>
    <rPh sb="9" eb="10">
      <t>ニチ</t>
    </rPh>
    <phoneticPr fontId="12"/>
  </si>
  <si>
    <t>・見積書Noの採番ルールを変更</t>
    <rPh sb="1" eb="4">
      <t>ミツモリショ</t>
    </rPh>
    <rPh sb="7" eb="9">
      <t>サイバン</t>
    </rPh>
    <rPh sb="13" eb="15">
      <t>ヘンコウ</t>
    </rPh>
    <phoneticPr fontId="12"/>
  </si>
  <si>
    <t>営業用の見積管理ステータスと制作見積管理用の制作見積ステータスの2つのステータスが存在する</t>
    <rPh sb="0" eb="2">
      <t>エイギョウ</t>
    </rPh>
    <rPh sb="2" eb="3">
      <t>ヨウ</t>
    </rPh>
    <rPh sb="4" eb="6">
      <t>ミツモリ</t>
    </rPh>
    <rPh sb="6" eb="8">
      <t>カンリ</t>
    </rPh>
    <rPh sb="14" eb="16">
      <t>セイサク</t>
    </rPh>
    <rPh sb="16" eb="18">
      <t>ミツモリ</t>
    </rPh>
    <rPh sb="18" eb="20">
      <t>カンリ</t>
    </rPh>
    <rPh sb="20" eb="21">
      <t>ヨウ</t>
    </rPh>
    <rPh sb="22" eb="24">
      <t>セイサク</t>
    </rPh>
    <rPh sb="24" eb="26">
      <t>ミツモリ</t>
    </rPh>
    <rPh sb="41" eb="43">
      <t>ソンザイ</t>
    </rPh>
    <phoneticPr fontId="12"/>
  </si>
  <si>
    <t>①作成済</t>
    <rPh sb="1" eb="4">
      <t>サクセイズ</t>
    </rPh>
    <phoneticPr fontId="12"/>
  </si>
  <si>
    <t>新規登録～作業部門別見積を登録するまでの状態</t>
    <rPh sb="0" eb="4">
      <t>シンキトウロク</t>
    </rPh>
    <rPh sb="5" eb="7">
      <t>サギョウ</t>
    </rPh>
    <rPh sb="7" eb="10">
      <t>ブモンベツ</t>
    </rPh>
    <rPh sb="10" eb="12">
      <t>ミツモリ</t>
    </rPh>
    <rPh sb="13" eb="15">
      <t>トウロク</t>
    </rPh>
    <rPh sb="20" eb="22">
      <t>ジョウタイ</t>
    </rPh>
    <phoneticPr fontId="12"/>
  </si>
  <si>
    <t>②承認待ち</t>
    <rPh sb="1" eb="3">
      <t>ショウニン</t>
    </rPh>
    <rPh sb="3" eb="4">
      <t>マ</t>
    </rPh>
    <phoneticPr fontId="12"/>
  </si>
  <si>
    <t>営業が作業部門別見積を登録し、所長が承認するまでの状態</t>
    <rPh sb="0" eb="2">
      <t>エイギョウ</t>
    </rPh>
    <rPh sb="3" eb="8">
      <t>サギ</t>
    </rPh>
    <rPh sb="8" eb="10">
      <t>ミツモリ</t>
    </rPh>
    <rPh sb="11" eb="13">
      <t>トウロク</t>
    </rPh>
    <rPh sb="15" eb="17">
      <t>ショチョウ</t>
    </rPh>
    <rPh sb="18" eb="20">
      <t>ショウニン</t>
    </rPh>
    <rPh sb="25" eb="27">
      <t>ジョウタイ</t>
    </rPh>
    <phoneticPr fontId="12"/>
  </si>
  <si>
    <t>③承認済</t>
    <rPh sb="1" eb="4">
      <t>ショウニンズ</t>
    </rPh>
    <phoneticPr fontId="12"/>
  </si>
  <si>
    <t>所長が見積内容を承認した状態</t>
    <rPh sb="0" eb="2">
      <t>ショチョウ</t>
    </rPh>
    <rPh sb="3" eb="5">
      <t>ミツモリ</t>
    </rPh>
    <rPh sb="5" eb="7">
      <t>ナイヨウ</t>
    </rPh>
    <rPh sb="8" eb="10">
      <t>ショウニン</t>
    </rPh>
    <rPh sb="12" eb="14">
      <t>ジョウタイ</t>
    </rPh>
    <phoneticPr fontId="12"/>
  </si>
  <si>
    <t>承認の場合:③へ</t>
    <rPh sb="0" eb="2">
      <t>ショウニン</t>
    </rPh>
    <rPh sb="3" eb="5">
      <t>バアイ</t>
    </rPh>
    <phoneticPr fontId="12"/>
  </si>
  <si>
    <t>否認の場合:①へ</t>
    <rPh sb="0" eb="2">
      <t>ヒニン</t>
    </rPh>
    <rPh sb="3" eb="5">
      <t>バアイ</t>
    </rPh>
    <phoneticPr fontId="12"/>
  </si>
  <si>
    <t>④発行済</t>
    <rPh sb="1" eb="4">
      <t>ハッコウズミ</t>
    </rPh>
    <phoneticPr fontId="12"/>
  </si>
  <si>
    <t>見積書を発行した状態</t>
    <rPh sb="0" eb="3">
      <t>ミツモリショ</t>
    </rPh>
    <rPh sb="4" eb="6">
      <t>ハッコウ</t>
    </rPh>
    <rPh sb="8" eb="10">
      <t>ジョウタイ</t>
    </rPh>
    <phoneticPr fontId="12"/>
  </si>
  <si>
    <t>【制作見積ステータス】</t>
    <rPh sb="1" eb="3">
      <t>セイサク</t>
    </rPh>
    <rPh sb="3" eb="5">
      <t>ミツモリ</t>
    </rPh>
    <phoneticPr fontId="12"/>
  </si>
  <si>
    <t>【見積ステータス】</t>
    <rPh sb="1" eb="3">
      <t>ミツモリ</t>
    </rPh>
    <phoneticPr fontId="12"/>
  </si>
  <si>
    <t>①制作見積依頼前</t>
    <rPh sb="1" eb="5">
      <t>セイサク</t>
    </rPh>
    <rPh sb="5" eb="7">
      <t>イライ</t>
    </rPh>
    <rPh sb="7" eb="8">
      <t>マエ</t>
    </rPh>
    <phoneticPr fontId="12"/>
  </si>
  <si>
    <t>営業から制作へ制作見積依頼を行う前の状態</t>
    <rPh sb="0" eb="2">
      <t>エイギョウ</t>
    </rPh>
    <rPh sb="4" eb="6">
      <t>セイサク</t>
    </rPh>
    <rPh sb="7" eb="9">
      <t>セイサク</t>
    </rPh>
    <rPh sb="9" eb="13">
      <t>ミツモリイライ</t>
    </rPh>
    <rPh sb="14" eb="15">
      <t>オコナ</t>
    </rPh>
    <rPh sb="16" eb="17">
      <t>マエ</t>
    </rPh>
    <rPh sb="18" eb="20">
      <t>ジョウタイ</t>
    </rPh>
    <phoneticPr fontId="12"/>
  </si>
  <si>
    <t>②制作見積依頼済</t>
    <rPh sb="1" eb="3">
      <t>セイサク</t>
    </rPh>
    <rPh sb="3" eb="5">
      <t>ミツモリ</t>
    </rPh>
    <rPh sb="5" eb="7">
      <t>イライ</t>
    </rPh>
    <rPh sb="7" eb="8">
      <t>ズ</t>
    </rPh>
    <phoneticPr fontId="12"/>
  </si>
  <si>
    <t>営業から制作へ制作見積依頼を行い、主管センターから制作見積が発行されるまでの状態</t>
    <rPh sb="0" eb="2">
      <t>エイギョウ</t>
    </rPh>
    <rPh sb="4" eb="6">
      <t>セイサク</t>
    </rPh>
    <rPh sb="7" eb="9">
      <t>セイサク</t>
    </rPh>
    <rPh sb="9" eb="13">
      <t>ミツモリイライ</t>
    </rPh>
    <rPh sb="14" eb="15">
      <t>オコナ</t>
    </rPh>
    <rPh sb="17" eb="19">
      <t>シュカン</t>
    </rPh>
    <rPh sb="25" eb="27">
      <t>セイサク</t>
    </rPh>
    <rPh sb="27" eb="29">
      <t>ミツモリ</t>
    </rPh>
    <rPh sb="30" eb="32">
      <t>ハッコウ</t>
    </rPh>
    <rPh sb="38" eb="40">
      <t>ジョウタイ</t>
    </rPh>
    <phoneticPr fontId="12"/>
  </si>
  <si>
    <t>③制作見積済</t>
    <rPh sb="1" eb="3">
      <t>セイサク</t>
    </rPh>
    <rPh sb="3" eb="5">
      <t>ミツモリ</t>
    </rPh>
    <rPh sb="5" eb="6">
      <t>ズ</t>
    </rPh>
    <phoneticPr fontId="12"/>
  </si>
  <si>
    <t>主管センターから制作見積が発行され、営業が受け取るまでの状態</t>
    <rPh sb="0" eb="2">
      <t>シュカン</t>
    </rPh>
    <rPh sb="8" eb="10">
      <t>セイサク</t>
    </rPh>
    <rPh sb="10" eb="12">
      <t>ミツモリ</t>
    </rPh>
    <rPh sb="13" eb="15">
      <t>ハッコウ</t>
    </rPh>
    <rPh sb="18" eb="20">
      <t>エイギョウ</t>
    </rPh>
    <rPh sb="21" eb="22">
      <t>ウ</t>
    </rPh>
    <rPh sb="23" eb="24">
      <t>ト</t>
    </rPh>
    <rPh sb="28" eb="30">
      <t>ジョウタイ</t>
    </rPh>
    <phoneticPr fontId="12"/>
  </si>
  <si>
    <t>④制作見積受取済</t>
    <rPh sb="1" eb="3">
      <t>セイサク</t>
    </rPh>
    <rPh sb="3" eb="5">
      <t>ミツモリ</t>
    </rPh>
    <rPh sb="5" eb="7">
      <t>ウケトリ</t>
    </rPh>
    <rPh sb="7" eb="8">
      <t>ズ</t>
    </rPh>
    <phoneticPr fontId="12"/>
  </si>
  <si>
    <t>主管センターから発行された制作見積を営業が受け取った状態</t>
    <rPh sb="0" eb="2">
      <t>シュカン</t>
    </rPh>
    <rPh sb="8" eb="10">
      <t>ハッコウ</t>
    </rPh>
    <rPh sb="13" eb="15">
      <t>セイサク</t>
    </rPh>
    <rPh sb="15" eb="17">
      <t>ミツモリ</t>
    </rPh>
    <rPh sb="18" eb="20">
      <t>エイギョウ</t>
    </rPh>
    <rPh sb="21" eb="22">
      <t>ウ</t>
    </rPh>
    <rPh sb="23" eb="24">
      <t>ト</t>
    </rPh>
    <rPh sb="26" eb="28">
      <t>ジョウタイ</t>
    </rPh>
    <phoneticPr fontId="12"/>
  </si>
  <si>
    <t>差し戻しの場合:②へ</t>
    <rPh sb="0" eb="1">
      <t>サ</t>
    </rPh>
    <rPh sb="2" eb="3">
      <t>モド</t>
    </rPh>
    <rPh sb="5" eb="7">
      <t>バアイ</t>
    </rPh>
    <phoneticPr fontId="12"/>
  </si>
  <si>
    <t>VARCHAR(120)</t>
    <phoneticPr fontId="12"/>
  </si>
  <si>
    <t>・得意先名のデータ型修正</t>
    <rPh sb="1" eb="5">
      <t>トクイ</t>
    </rPh>
    <rPh sb="9" eb="10">
      <t>ガタ</t>
    </rPh>
    <rPh sb="10" eb="12">
      <t>シュウセイ</t>
    </rPh>
    <phoneticPr fontId="12"/>
  </si>
  <si>
    <t>・受注テーブルを修正</t>
    <rPh sb="1" eb="3">
      <t>ジュチュウ</t>
    </rPh>
    <rPh sb="8" eb="10">
      <t>シュウセイ</t>
    </rPh>
    <phoneticPr fontId="12"/>
  </si>
  <si>
    <t>CHAR(12)</t>
    <phoneticPr fontId="12"/>
  </si>
  <si>
    <t>12桁　自動採番
得意先コード
+yymm
+001(得意先コード+年月ごとに001～999で採番)
ex.47904260101</t>
    <rPh sb="9" eb="12">
      <t>トクイサキ</t>
    </rPh>
    <rPh sb="27" eb="30">
      <t>トクイサキ</t>
    </rPh>
    <rPh sb="34" eb="36">
      <t>ネンゲツ</t>
    </rPh>
    <rPh sb="47" eb="49">
      <t>サイバン</t>
    </rPh>
    <phoneticPr fontId="12"/>
  </si>
  <si>
    <t>2026年1月30日</t>
    <phoneticPr fontId="12"/>
  </si>
  <si>
    <t>21</t>
    <phoneticPr fontId="12"/>
  </si>
  <si>
    <t>1.0.21</t>
    <phoneticPr fontId="12"/>
  </si>
  <si>
    <t>2026年1月30日</t>
    <rPh sb="4" eb="5">
      <t>ネン</t>
    </rPh>
    <rPh sb="6" eb="7">
      <t>ガツ</t>
    </rPh>
    <rPh sb="9" eb="10">
      <t>ニチ</t>
    </rPh>
    <phoneticPr fontId="12"/>
  </si>
  <si>
    <t>・主管センターidのnot null制約を削除</t>
    <rPh sb="1" eb="3">
      <t>シュカン</t>
    </rPh>
    <rPh sb="18" eb="20">
      <t>セイヤク</t>
    </rPh>
    <rPh sb="21" eb="23">
      <t>サクジョ</t>
    </rPh>
    <phoneticPr fontId="12"/>
  </si>
  <si>
    <t>・主管担当者のnot null制約を削除</t>
    <rPh sb="1" eb="3">
      <t>シュカン</t>
    </rPh>
    <rPh sb="3" eb="6">
      <t>タントウシャ</t>
    </rPh>
    <rPh sb="15" eb="17">
      <t>セイヤク</t>
    </rPh>
    <rPh sb="18" eb="20">
      <t>サクジョ</t>
    </rPh>
    <phoneticPr fontId="12"/>
  </si>
  <si>
    <t>月別発送費</t>
    <phoneticPr fontId="12"/>
  </si>
  <si>
    <t>2025年12月16日</t>
    <phoneticPr fontId="12"/>
  </si>
  <si>
    <t>monthly_ship_costs</t>
    <phoneticPr fontId="12"/>
  </si>
  <si>
    <t>月別発送費id</t>
    <phoneticPr fontId="12"/>
  </si>
  <si>
    <t>monthly_ship_cost_id</t>
    <phoneticPr fontId="12"/>
  </si>
  <si>
    <t>sales_operation_amount_id</t>
    <phoneticPr fontId="12"/>
  </si>
  <si>
    <t>作業部門別売上.sales_operation_amount_id　FK制約restrict</t>
    <phoneticPr fontId="12"/>
  </si>
  <si>
    <t>7桁　YYYY/MM形式</t>
    <phoneticPr fontId="12"/>
  </si>
  <si>
    <t>売上フラグ</t>
    <rPh sb="0" eb="2">
      <t>ウリアゲ</t>
    </rPh>
    <phoneticPr fontId="12"/>
  </si>
  <si>
    <t>sales_flag</t>
    <phoneticPr fontId="12"/>
  </si>
  <si>
    <t>0</t>
  </si>
  <si>
    <t>0：発生 1：売上済</t>
    <phoneticPr fontId="12"/>
  </si>
  <si>
    <t>年号</t>
    <phoneticPr fontId="12"/>
  </si>
  <si>
    <t>品名</t>
    <rPh sb="0" eb="2">
      <t>ヒンメイ</t>
    </rPh>
    <phoneticPr fontId="12"/>
  </si>
  <si>
    <t>prod_name</t>
    <phoneticPr fontId="12"/>
  </si>
  <si>
    <t>受注日</t>
    <phoneticPr fontId="12"/>
  </si>
  <si>
    <t>最終完了日</t>
    <phoneticPr fontId="12"/>
  </si>
  <si>
    <t>発注書番号</t>
    <rPh sb="0" eb="5">
      <t>ハッチュウショバンゴウ</t>
    </rPh>
    <phoneticPr fontId="12"/>
  </si>
  <si>
    <t>得意先名</t>
    <rPh sb="0" eb="4">
      <t>トクイサキメイ</t>
    </rPh>
    <phoneticPr fontId="12"/>
  </si>
  <si>
    <t>VARHAR(120)</t>
    <phoneticPr fontId="12"/>
  </si>
  <si>
    <t>諸口の場合は受注idに紐づく得意先名、諸口以外の場合は得意先idに紐づく得意先名</t>
    <phoneticPr fontId="12"/>
  </si>
  <si>
    <t>22</t>
    <phoneticPr fontId="12"/>
  </si>
  <si>
    <t>1.0.22</t>
    <phoneticPr fontId="12"/>
  </si>
  <si>
    <t>・月別発送費</t>
    <phoneticPr fontId="12"/>
  </si>
  <si>
    <t>・製品在庫金額集計</t>
    <phoneticPr fontId="12"/>
  </si>
  <si>
    <t>井上　裕之</t>
    <rPh sb="0" eb="2">
      <t>イノウエ</t>
    </rPh>
    <rPh sb="3" eb="5">
      <t>ヒロユキ</t>
    </rPh>
    <phoneticPr fontId="12"/>
  </si>
  <si>
    <t>・集計に必要なカラムの追加</t>
    <rPh sb="1" eb="3">
      <t>シュウケイ</t>
    </rPh>
    <rPh sb="4" eb="6">
      <t>ヒツヨウ</t>
    </rPh>
    <rPh sb="11" eb="13">
      <t>ツイカ</t>
    </rPh>
    <phoneticPr fontId="12"/>
  </si>
  <si>
    <t>・月別発送費テーブルを追加</t>
    <rPh sb="1" eb="6">
      <t>ツキベツハッソウヒ</t>
    </rPh>
    <rPh sb="11" eb="13">
      <t>ツイカ</t>
    </rPh>
    <phoneticPr fontId="12"/>
  </si>
  <si>
    <t>・製品在庫金額集計テーブルを修正</t>
    <rPh sb="1" eb="3">
      <t>セイヒン</t>
    </rPh>
    <rPh sb="3" eb="5">
      <t>ザイコ</t>
    </rPh>
    <rPh sb="5" eb="7">
      <t>キンガク</t>
    </rPh>
    <rPh sb="7" eb="9">
      <t>シュウケイ</t>
    </rPh>
    <rPh sb="14" eb="16">
      <t>シュウセイ</t>
    </rPh>
    <phoneticPr fontId="12"/>
  </si>
  <si>
    <t>Ver 1.0.22</t>
    <phoneticPr fontId="12"/>
  </si>
  <si>
    <t>作業部門別で発送した履歴を管理するテーブル</t>
    <rPh sb="0" eb="2">
      <t>サギョウ</t>
    </rPh>
    <rPh sb="2" eb="4">
      <t>ブモン</t>
    </rPh>
    <rPh sb="4" eb="5">
      <t>ベツ</t>
    </rPh>
    <rPh sb="6" eb="8">
      <t>ハッソウ</t>
    </rPh>
    <rPh sb="10" eb="12">
      <t>リレキ</t>
    </rPh>
    <rPh sb="13" eb="15">
      <t>カンリ</t>
    </rPh>
    <phoneticPr fontId="12"/>
  </si>
  <si>
    <t>2025年1月30日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</si>
</sst>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90"/>
      <color theme="1"/>
      <name val="Meiryo"/>
      <family val="3"/>
      <charset val="128"/>
    </font>
    <font>
      <b/>
      <sz val="48"/>
      <color theme="1"/>
      <name val="Meiryo"/>
      <family val="3"/>
      <charset val="128"/>
    </font>
    <font>
      <b/>
      <sz val="22"/>
      <color theme="1"/>
      <name val="Meiryo"/>
      <family val="3"/>
      <charset val="128"/>
    </font>
    <font>
      <sz val="11"/>
      <name val="Calibri"/>
      <family val="2"/>
    </font>
    <font>
      <sz val="14"/>
      <color rgb="FF1F1F1F"/>
      <name val="Meiryo"/>
      <family val="3"/>
      <charset val="128"/>
    </font>
    <font>
      <sz val="11"/>
      <color rgb="FF1F1F1F"/>
      <name val="Meiryo"/>
      <family val="3"/>
      <charset val="128"/>
    </font>
    <font>
      <sz val="10"/>
      <color theme="1"/>
      <name val="Meiryo"/>
      <family val="3"/>
      <charset val="128"/>
    </font>
    <font>
      <u/>
      <sz val="11"/>
      <color theme="10"/>
      <name val="Calibri"/>
      <family val="2"/>
      <scheme val="minor"/>
    </font>
    <font>
      <sz val="6"/>
      <name val="Calibri"/>
      <family val="3"/>
      <charset val="128"/>
      <scheme val="minor"/>
    </font>
    <font>
      <u/>
      <sz val="11"/>
      <color theme="10"/>
      <name val="メイリオ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1"/>
      <name val="Meiryo"/>
      <family val="3"/>
      <charset val="128"/>
    </font>
    <font>
      <sz val="11"/>
      <color theme="1"/>
      <name val="Calibri"/>
      <family val="2"/>
    </font>
    <font>
      <u/>
      <sz val="11"/>
      <color theme="1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2F3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E2F3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4" fillId="0" borderId="15"/>
  </cellStyleXfs>
  <cellXfs count="177">
    <xf numFmtId="0" fontId="0" fillId="0" borderId="0" xfId="0"/>
    <xf numFmtId="49" fontId="2" fillId="0" borderId="0" xfId="0" applyNumberFormat="1" applyFont="1"/>
    <xf numFmtId="49" fontId="3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3" xfId="0" applyNumberFormat="1" applyFont="1" applyFill="1" applyBorder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49" fontId="2" fillId="3" borderId="3" xfId="0" applyNumberFormat="1" applyFont="1" applyFill="1" applyBorder="1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/>
    <xf numFmtId="49" fontId="2" fillId="0" borderId="10" xfId="0" applyNumberFormat="1" applyFont="1" applyBorder="1"/>
    <xf numFmtId="49" fontId="2" fillId="0" borderId="11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2" fillId="4" borderId="15" xfId="0" applyNumberFormat="1" applyFont="1" applyFill="1" applyBorder="1"/>
    <xf numFmtId="49" fontId="2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4" fillId="0" borderId="15" xfId="2"/>
    <xf numFmtId="49" fontId="2" fillId="0" borderId="15" xfId="2" applyNumberFormat="1" applyFont="1"/>
    <xf numFmtId="49" fontId="2" fillId="3" borderId="14" xfId="2" applyNumberFormat="1" applyFont="1" applyFill="1" applyBorder="1"/>
    <xf numFmtId="49" fontId="2" fillId="3" borderId="13" xfId="2" applyNumberFormat="1" applyFont="1" applyFill="1" applyBorder="1"/>
    <xf numFmtId="49" fontId="2" fillId="3" borderId="12" xfId="2" applyNumberFormat="1" applyFont="1" applyFill="1" applyBorder="1"/>
    <xf numFmtId="49" fontId="2" fillId="2" borderId="14" xfId="2" applyNumberFormat="1" applyFont="1" applyFill="1" applyBorder="1"/>
    <xf numFmtId="49" fontId="2" fillId="2" borderId="13" xfId="2" applyNumberFormat="1" applyFont="1" applyFill="1" applyBorder="1"/>
    <xf numFmtId="49" fontId="3" fillId="2" borderId="12" xfId="2" applyNumberFormat="1" applyFont="1" applyFill="1" applyBorder="1"/>
    <xf numFmtId="49" fontId="2" fillId="4" borderId="15" xfId="2" applyNumberFormat="1" applyFont="1" applyFill="1"/>
    <xf numFmtId="49" fontId="2" fillId="0" borderId="15" xfId="0" applyNumberFormat="1" applyFont="1" applyBorder="1"/>
    <xf numFmtId="49" fontId="2" fillId="0" borderId="16" xfId="0" applyNumberFormat="1" applyFont="1" applyBorder="1"/>
    <xf numFmtId="49" fontId="2" fillId="0" borderId="17" xfId="0" applyNumberFormat="1" applyFont="1" applyBorder="1"/>
    <xf numFmtId="49" fontId="2" fillId="0" borderId="18" xfId="0" applyNumberFormat="1" applyFont="1" applyBorder="1"/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5" borderId="0" xfId="0" applyNumberFormat="1" applyFont="1" applyFill="1"/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49" fontId="2" fillId="6" borderId="2" xfId="0" applyNumberFormat="1" applyFont="1" applyFill="1" applyBorder="1"/>
    <xf numFmtId="49" fontId="2" fillId="6" borderId="3" xfId="0" applyNumberFormat="1" applyFont="1" applyFill="1" applyBorder="1"/>
    <xf numFmtId="49" fontId="2" fillId="7" borderId="1" xfId="0" applyNumberFormat="1" applyFont="1" applyFill="1" applyBorder="1"/>
    <xf numFmtId="49" fontId="2" fillId="7" borderId="2" xfId="0" applyNumberFormat="1" applyFont="1" applyFill="1" applyBorder="1"/>
    <xf numFmtId="49" fontId="2" fillId="7" borderId="3" xfId="0" applyNumberFormat="1" applyFont="1" applyFill="1" applyBorder="1"/>
    <xf numFmtId="49" fontId="2" fillId="6" borderId="1" xfId="0" applyNumberFormat="1" applyFont="1" applyFill="1" applyBorder="1"/>
    <xf numFmtId="49" fontId="2" fillId="0" borderId="19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0" xfId="0" applyNumberFormat="1" applyFont="1" applyBorder="1"/>
    <xf numFmtId="49" fontId="2" fillId="0" borderId="21" xfId="0" applyNumberFormat="1" applyFont="1" applyBorder="1"/>
    <xf numFmtId="49" fontId="2" fillId="0" borderId="22" xfId="0" applyNumberFormat="1" applyFont="1" applyBorder="1"/>
    <xf numFmtId="49" fontId="2" fillId="0" borderId="23" xfId="0" applyNumberFormat="1" applyFont="1" applyBorder="1"/>
    <xf numFmtId="49" fontId="15" fillId="0" borderId="5" xfId="0" applyNumberFormat="1" applyFont="1" applyBorder="1" applyAlignment="1">
      <alignment vertical="center"/>
    </xf>
    <xf numFmtId="49" fontId="15" fillId="0" borderId="15" xfId="2" applyNumberFormat="1" applyFont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5" xfId="0" applyNumberFormat="1" applyFont="1" applyBorder="1" applyAlignment="1">
      <alignment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vertical="center"/>
    </xf>
    <xf numFmtId="49" fontId="2" fillId="0" borderId="30" xfId="0" applyNumberFormat="1" applyFont="1" applyBorder="1" applyAlignment="1">
      <alignment vertical="center"/>
    </xf>
    <xf numFmtId="49" fontId="2" fillId="9" borderId="1" xfId="0" applyNumberFormat="1" applyFont="1" applyFill="1" applyBorder="1"/>
    <xf numFmtId="49" fontId="2" fillId="9" borderId="2" xfId="0" applyNumberFormat="1" applyFont="1" applyFill="1" applyBorder="1"/>
    <xf numFmtId="49" fontId="2" fillId="9" borderId="3" xfId="0" applyNumberFormat="1" applyFont="1" applyFill="1" applyBorder="1"/>
    <xf numFmtId="49" fontId="2" fillId="10" borderId="1" xfId="0" applyNumberFormat="1" applyFont="1" applyFill="1" applyBorder="1" applyAlignment="1">
      <alignment vertical="center"/>
    </xf>
    <xf numFmtId="49" fontId="2" fillId="10" borderId="2" xfId="0" applyNumberFormat="1" applyFont="1" applyFill="1" applyBorder="1"/>
    <xf numFmtId="49" fontId="2" fillId="10" borderId="3" xfId="0" applyNumberFormat="1" applyFont="1" applyFill="1" applyBorder="1"/>
    <xf numFmtId="49" fontId="16" fillId="6" borderId="12" xfId="2" applyNumberFormat="1" applyFont="1" applyFill="1" applyBorder="1" applyAlignment="1">
      <alignment vertical="center"/>
    </xf>
    <xf numFmtId="0" fontId="2" fillId="0" borderId="15" xfId="2" applyFont="1"/>
    <xf numFmtId="0" fontId="2" fillId="0" borderId="5" xfId="0" applyFont="1" applyBorder="1"/>
    <xf numFmtId="0" fontId="2" fillId="0" borderId="6" xfId="0" applyFont="1" applyBorder="1"/>
    <xf numFmtId="0" fontId="0" fillId="0" borderId="1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9" xfId="0" applyBorder="1"/>
    <xf numFmtId="0" fontId="2" fillId="0" borderId="4" xfId="0" applyFont="1" applyBorder="1"/>
    <xf numFmtId="0" fontId="2" fillId="0" borderId="7" xfId="0" applyFont="1" applyBorder="1"/>
    <xf numFmtId="49" fontId="4" fillId="0" borderId="0" xfId="0" applyNumberFormat="1" applyFont="1" applyAlignment="1">
      <alignment horizontal="center" vertical="center"/>
    </xf>
    <xf numFmtId="0" fontId="0" fillId="0" borderId="0" xfId="0"/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7" fillId="0" borderId="13" xfId="0" applyFont="1" applyBorder="1"/>
    <xf numFmtId="0" fontId="7" fillId="0" borderId="14" xfId="0" applyFont="1" applyBorder="1"/>
    <xf numFmtId="49" fontId="2" fillId="0" borderId="12" xfId="0" applyNumberFormat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13" xfId="1" applyFont="1" applyBorder="1"/>
    <xf numFmtId="0" fontId="13" fillId="0" borderId="14" xfId="1" applyFont="1" applyBorder="1"/>
    <xf numFmtId="0" fontId="13" fillId="0" borderId="12" xfId="1" applyFont="1" applyBorder="1"/>
    <xf numFmtId="49" fontId="3" fillId="2" borderId="12" xfId="0" applyNumberFormat="1" applyFont="1" applyFill="1" applyBorder="1" applyAlignment="1">
      <alignment vertical="center"/>
    </xf>
    <xf numFmtId="49" fontId="13" fillId="0" borderId="12" xfId="1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/>
    <xf numFmtId="49" fontId="2" fillId="5" borderId="12" xfId="0" applyNumberFormat="1" applyFont="1" applyFill="1" applyBorder="1" applyAlignment="1">
      <alignment vertical="center"/>
    </xf>
    <xf numFmtId="0" fontId="7" fillId="5" borderId="13" xfId="0" applyFont="1" applyFill="1" applyBorder="1"/>
    <xf numFmtId="0" fontId="7" fillId="5" borderId="14" xfId="0" applyFont="1" applyFill="1" applyBorder="1"/>
    <xf numFmtId="49" fontId="2" fillId="0" borderId="4" xfId="0" applyNumberFormat="1" applyFont="1" applyBorder="1" applyAlignment="1">
      <alignment horizontal="center" vertical="center"/>
    </xf>
    <xf numFmtId="0" fontId="7" fillId="0" borderId="6" xfId="0" applyFont="1" applyBorder="1"/>
    <xf numFmtId="49" fontId="2" fillId="0" borderId="4" xfId="0" applyNumberFormat="1" applyFont="1" applyBorder="1" applyAlignment="1">
      <alignment vertical="center"/>
    </xf>
    <xf numFmtId="0" fontId="7" fillId="0" borderId="5" xfId="0" applyFont="1" applyBorder="1"/>
    <xf numFmtId="49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49" fontId="2" fillId="5" borderId="12" xfId="0" applyNumberFormat="1" applyFont="1" applyFill="1" applyBorder="1" applyAlignment="1">
      <alignment vertical="center" wrapText="1"/>
    </xf>
    <xf numFmtId="49" fontId="2" fillId="5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shrinkToFit="1"/>
    </xf>
    <xf numFmtId="0" fontId="2" fillId="5" borderId="12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 shrinkToFit="1"/>
    </xf>
    <xf numFmtId="49" fontId="2" fillId="5" borderId="12" xfId="0" applyNumberFormat="1" applyFont="1" applyFill="1" applyBorder="1"/>
    <xf numFmtId="0" fontId="9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7" fillId="0" borderId="10" xfId="0" applyFont="1" applyBorder="1"/>
    <xf numFmtId="0" fontId="7" fillId="0" borderId="11" xfId="0" applyFont="1" applyBorder="1"/>
    <xf numFmtId="49" fontId="2" fillId="5" borderId="12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 wrapText="1"/>
    </xf>
    <xf numFmtId="49" fontId="2" fillId="8" borderId="12" xfId="0" applyNumberFormat="1" applyFont="1" applyFill="1" applyBorder="1" applyAlignment="1">
      <alignment vertical="center"/>
    </xf>
    <xf numFmtId="49" fontId="2" fillId="8" borderId="13" xfId="0" applyNumberFormat="1" applyFont="1" applyFill="1" applyBorder="1" applyAlignment="1">
      <alignment vertical="center"/>
    </xf>
    <xf numFmtId="49" fontId="2" fillId="8" borderId="14" xfId="0" applyNumberFormat="1" applyFont="1" applyFill="1" applyBorder="1" applyAlignment="1">
      <alignment vertical="center"/>
    </xf>
    <xf numFmtId="0" fontId="2" fillId="8" borderId="12" xfId="2" applyFont="1" applyFill="1" applyBorder="1" applyAlignment="1">
      <alignment vertical="center"/>
    </xf>
    <xf numFmtId="0" fontId="7" fillId="8" borderId="13" xfId="2" applyFont="1" applyFill="1" applyBorder="1"/>
    <xf numFmtId="0" fontId="7" fillId="8" borderId="14" xfId="2" applyFont="1" applyFill="1" applyBorder="1"/>
    <xf numFmtId="0" fontId="2" fillId="8" borderId="12" xfId="0" applyFont="1" applyFill="1" applyBorder="1" applyAlignment="1">
      <alignment vertical="center"/>
    </xf>
    <xf numFmtId="0" fontId="7" fillId="8" borderId="13" xfId="0" applyFont="1" applyFill="1" applyBorder="1"/>
    <xf numFmtId="0" fontId="7" fillId="8" borderId="14" xfId="0" applyFont="1" applyFill="1" applyBorder="1"/>
    <xf numFmtId="49" fontId="2" fillId="8" borderId="12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49" fontId="2" fillId="8" borderId="13" xfId="0" applyNumberFormat="1" applyFont="1" applyFill="1" applyBorder="1" applyAlignment="1">
      <alignment horizontal="center" vertical="center"/>
    </xf>
    <xf numFmtId="49" fontId="2" fillId="8" borderId="14" xfId="0" applyNumberFormat="1" applyFont="1" applyFill="1" applyBorder="1" applyAlignment="1">
      <alignment horizontal="center" vertical="center"/>
    </xf>
    <xf numFmtId="49" fontId="2" fillId="8" borderId="12" xfId="0" applyNumberFormat="1" applyFont="1" applyFill="1" applyBorder="1" applyAlignment="1">
      <alignment vertical="center" wrapText="1"/>
    </xf>
    <xf numFmtId="49" fontId="2" fillId="8" borderId="12" xfId="2" applyNumberFormat="1" applyFont="1" applyFill="1" applyBorder="1" applyAlignment="1">
      <alignment vertical="center"/>
    </xf>
    <xf numFmtId="49" fontId="2" fillId="0" borderId="12" xfId="2" applyNumberFormat="1" applyFont="1" applyBorder="1" applyAlignment="1">
      <alignment horizontal="left" vertical="center" wrapText="1"/>
    </xf>
    <xf numFmtId="0" fontId="7" fillId="0" borderId="13" xfId="2" applyFont="1" applyBorder="1"/>
    <xf numFmtId="0" fontId="7" fillId="0" borderId="14" xfId="2" applyFont="1" applyBorder="1"/>
    <xf numFmtId="49" fontId="2" fillId="0" borderId="12" xfId="2" applyNumberFormat="1" applyFont="1" applyBorder="1" applyAlignment="1">
      <alignment horizontal="left" vertical="center"/>
    </xf>
    <xf numFmtId="49" fontId="2" fillId="0" borderId="12" xfId="2" applyNumberFormat="1" applyFont="1" applyBorder="1" applyAlignment="1">
      <alignment vertical="center"/>
    </xf>
    <xf numFmtId="49" fontId="2" fillId="0" borderId="12" xfId="2" applyNumberFormat="1" applyFont="1" applyBorder="1" applyAlignment="1">
      <alignment horizontal="center" vertical="center"/>
    </xf>
    <xf numFmtId="0" fontId="2" fillId="0" borderId="12" xfId="2" applyFont="1" applyBorder="1" applyAlignment="1">
      <alignment vertical="center"/>
    </xf>
    <xf numFmtId="49" fontId="2" fillId="5" borderId="12" xfId="2" applyNumberFormat="1" applyFont="1" applyFill="1" applyBorder="1" applyAlignment="1">
      <alignment horizontal="left" vertical="center"/>
    </xf>
    <xf numFmtId="0" fontId="7" fillId="5" borderId="13" xfId="2" applyFont="1" applyFill="1" applyBorder="1"/>
    <xf numFmtId="0" fontId="7" fillId="5" borderId="14" xfId="2" applyFont="1" applyFill="1" applyBorder="1"/>
    <xf numFmtId="49" fontId="2" fillId="5" borderId="12" xfId="2" applyNumberFormat="1" applyFont="1" applyFill="1" applyBorder="1" applyAlignment="1">
      <alignment vertical="center"/>
    </xf>
    <xf numFmtId="49" fontId="2" fillId="0" borderId="12" xfId="2" applyNumberFormat="1" applyFont="1" applyBorder="1" applyAlignment="1">
      <alignment vertical="center" wrapText="1"/>
    </xf>
    <xf numFmtId="49" fontId="3" fillId="2" borderId="12" xfId="2" applyNumberFormat="1" applyFont="1" applyFill="1" applyBorder="1" applyAlignment="1">
      <alignment vertical="center"/>
    </xf>
    <xf numFmtId="0" fontId="17" fillId="5" borderId="13" xfId="2" applyFont="1" applyFill="1" applyBorder="1"/>
    <xf numFmtId="0" fontId="17" fillId="5" borderId="14" xfId="2" applyFont="1" applyFill="1" applyBorder="1"/>
    <xf numFmtId="0" fontId="17" fillId="0" borderId="13" xfId="2" applyFont="1" applyBorder="1"/>
    <xf numFmtId="0" fontId="17" fillId="0" borderId="14" xfId="2" applyFont="1" applyBorder="1"/>
    <xf numFmtId="0" fontId="2" fillId="0" borderId="12" xfId="2" applyFont="1" applyBorder="1" applyAlignment="1">
      <alignment vertical="center" shrinkToFit="1"/>
    </xf>
    <xf numFmtId="49" fontId="2" fillId="5" borderId="12" xfId="2" applyNumberFormat="1" applyFont="1" applyFill="1" applyBorder="1" applyAlignment="1">
      <alignment horizontal="center" vertical="center"/>
    </xf>
    <xf numFmtId="0" fontId="18" fillId="0" borderId="12" xfId="1" applyFont="1" applyBorder="1" applyAlignment="1">
      <alignment horizontal="left" vertical="center"/>
    </xf>
    <xf numFmtId="0" fontId="18" fillId="0" borderId="13" xfId="1" applyFont="1" applyBorder="1" applyAlignment="1">
      <alignment horizontal="left" vertical="center"/>
    </xf>
    <xf numFmtId="0" fontId="18" fillId="0" borderId="14" xfId="1" applyFont="1" applyBorder="1" applyAlignment="1">
      <alignment horizontal="left" vertical="center"/>
    </xf>
  </cellXfs>
  <cellStyles count="3">
    <cellStyle name="ハイパーリンク" xfId="1" builtinId="8"/>
    <cellStyle name="標準" xfId="0" builtinId="0"/>
    <cellStyle name="標準 2" xfId="2" xr:uid="{CE123D90-5662-4AD9-8FA0-5E72F2C47DCF}"/>
  </cellStyles>
  <dxfs count="0"/>
  <tableStyles count="0" defaultTableStyle="TableStyleMedium2" defaultPivotStyle="PivotStyleLight16"/>
  <colors>
    <mruColors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2838450" cy="10096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2914650" cy="1019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171450</xdr:colOff>
      <xdr:row>15</xdr:row>
      <xdr:rowOff>247650</xdr:rowOff>
    </xdr:from>
    <xdr:ext cx="952500" cy="10858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000"/>
  <sheetViews>
    <sheetView showGridLines="0" tabSelected="1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1052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9</v>
      </c>
      <c r="Q2" s="3"/>
      <c r="R2" s="3"/>
      <c r="S2" s="3"/>
      <c r="T2" s="4"/>
      <c r="U2" s="5" t="s">
        <v>10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12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599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96" t="s">
        <v>15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</row>
    <row r="6" spans="1:57" ht="21" customHeight="1">
      <c r="A6" s="1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</row>
    <row r="7" spans="1:57" ht="21" customHeight="1">
      <c r="A7" s="1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</row>
    <row r="8" spans="1:57" ht="21" customHeight="1">
      <c r="A8" s="1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</row>
    <row r="9" spans="1:57" ht="21" customHeight="1">
      <c r="A9" s="1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</row>
    <row r="10" spans="1:57" ht="21" customHeight="1">
      <c r="A10" s="1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</row>
    <row r="11" spans="1:57" ht="21" customHeight="1">
      <c r="A11" s="1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ht="21" customHeight="1">
      <c r="A14" s="1"/>
      <c r="B14" s="98" t="s">
        <v>3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</row>
    <row r="15" spans="1:57" ht="21" customHeight="1">
      <c r="A15" s="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</row>
    <row r="16" spans="1:57" ht="21" customHeight="1">
      <c r="A16" s="1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</row>
    <row r="17" spans="1:57" ht="21" customHeight="1">
      <c r="A17" s="1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</row>
    <row r="18" spans="1:57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21" customHeight="1">
      <c r="A19" s="1"/>
      <c r="B19" s="99" t="s">
        <v>1087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</row>
    <row r="20" spans="1:57" ht="21" customHeight="1">
      <c r="A20" s="1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</row>
    <row r="21" spans="1:57" ht="21" customHeight="1">
      <c r="A21" s="1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</row>
    <row r="22" spans="1:57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ht="21" customHeight="1"/>
    <row r="24" spans="1:57" ht="21" customHeight="1"/>
    <row r="25" spans="1:57" ht="21" customHeight="1"/>
    <row r="26" spans="1:57" ht="15.75" customHeight="1"/>
    <row r="27" spans="1:57" ht="15.75" customHeight="1"/>
    <row r="28" spans="1:57" ht="15.75" customHeight="1"/>
    <row r="29" spans="1:57" ht="15.75" customHeight="1"/>
    <row r="30" spans="1:57" ht="15.75" customHeight="1"/>
    <row r="31" spans="1:57" ht="15.75" customHeight="1"/>
    <row r="32" spans="1:5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5:BE11"/>
    <mergeCell ref="B14:BE17"/>
    <mergeCell ref="B19:BE21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43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8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1052</v>
      </c>
      <c r="AX1" s="6"/>
      <c r="AY1" s="6"/>
      <c r="AZ1" s="6"/>
      <c r="BA1" s="6"/>
      <c r="BB1" s="6"/>
      <c r="BC1" s="6"/>
      <c r="BD1" s="6"/>
      <c r="BE1" s="7"/>
      <c r="BF1" s="1"/>
    </row>
    <row r="2" spans="1:58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9</v>
      </c>
      <c r="Q2" s="3"/>
      <c r="R2" s="3"/>
      <c r="S2" s="3"/>
      <c r="T2" s="4"/>
      <c r="U2" s="5" t="s">
        <v>16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12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599</v>
      </c>
      <c r="AX2" s="6"/>
      <c r="AY2" s="6"/>
      <c r="AZ2" s="6"/>
      <c r="BA2" s="6"/>
      <c r="BB2" s="6"/>
      <c r="BC2" s="6"/>
      <c r="BD2" s="6"/>
      <c r="BE2" s="7"/>
      <c r="BF2" s="1"/>
    </row>
    <row r="3" spans="1:58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1" customHeight="1">
      <c r="A5" s="1"/>
      <c r="B5" s="9" t="s">
        <v>17</v>
      </c>
      <c r="C5" s="10"/>
      <c r="D5" s="11"/>
      <c r="E5" s="9" t="s">
        <v>18</v>
      </c>
      <c r="F5" s="10"/>
      <c r="G5" s="10"/>
      <c r="H5" s="10"/>
      <c r="I5" s="10"/>
      <c r="J5" s="11"/>
      <c r="K5" s="9" t="s">
        <v>19</v>
      </c>
      <c r="L5" s="10"/>
      <c r="M5" s="10"/>
      <c r="N5" s="10"/>
      <c r="O5" s="10"/>
      <c r="P5" s="11"/>
      <c r="Q5" s="9" t="s">
        <v>20</v>
      </c>
      <c r="R5" s="3"/>
      <c r="S5" s="10"/>
      <c r="T5" s="10"/>
      <c r="U5" s="10"/>
      <c r="V5" s="11"/>
      <c r="W5" s="9" t="s">
        <v>21</v>
      </c>
      <c r="X5" s="10"/>
      <c r="Y5" s="10"/>
      <c r="Z5" s="10"/>
      <c r="AA5" s="10"/>
      <c r="AB5" s="11"/>
      <c r="AC5" s="9" t="s">
        <v>13</v>
      </c>
      <c r="AD5" s="10"/>
      <c r="AE5" s="10"/>
      <c r="AF5" s="10"/>
      <c r="AG5" s="10"/>
      <c r="AH5" s="10"/>
      <c r="AI5" s="9" t="s">
        <v>22</v>
      </c>
      <c r="AJ5" s="10"/>
      <c r="AK5" s="10"/>
      <c r="AL5" s="10"/>
      <c r="AM5" s="10"/>
      <c r="AN5" s="11"/>
      <c r="AO5" s="12" t="s">
        <v>23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1"/>
      <c r="BF5" s="1"/>
    </row>
    <row r="6" spans="1:58" ht="21" customHeight="1">
      <c r="A6" s="1"/>
      <c r="B6" s="13" t="s">
        <v>24</v>
      </c>
      <c r="C6" s="14"/>
      <c r="D6" s="15"/>
      <c r="E6" s="13" t="s">
        <v>25</v>
      </c>
      <c r="F6" s="14"/>
      <c r="G6" s="14"/>
      <c r="H6" s="14"/>
      <c r="I6" s="14"/>
      <c r="J6" s="15"/>
      <c r="K6" s="13" t="s">
        <v>26</v>
      </c>
      <c r="L6" s="14"/>
      <c r="M6" s="14"/>
      <c r="N6" s="14"/>
      <c r="O6" s="14"/>
      <c r="P6" s="15"/>
      <c r="Q6" s="13" t="s">
        <v>27</v>
      </c>
      <c r="R6" s="14"/>
      <c r="S6" s="14"/>
      <c r="T6" s="14"/>
      <c r="U6" s="14"/>
      <c r="V6" s="15"/>
      <c r="W6" s="13" t="s">
        <v>28</v>
      </c>
      <c r="X6" s="14"/>
      <c r="Y6" s="14"/>
      <c r="Z6" s="14"/>
      <c r="AA6" s="14"/>
      <c r="AB6" s="15"/>
      <c r="AC6" s="13" t="s">
        <v>12</v>
      </c>
      <c r="AD6" s="14"/>
      <c r="AE6" s="14"/>
      <c r="AF6" s="14"/>
      <c r="AG6" s="14"/>
      <c r="AH6" s="14"/>
      <c r="AI6" s="13" t="s">
        <v>5</v>
      </c>
      <c r="AJ6" s="14"/>
      <c r="AK6" s="14"/>
      <c r="AL6" s="14"/>
      <c r="AM6" s="14"/>
      <c r="AN6" s="15"/>
      <c r="AO6" s="14" t="s">
        <v>29</v>
      </c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  <c r="BF6" s="1"/>
    </row>
    <row r="7" spans="1:58" ht="21" customHeight="1">
      <c r="A7" s="1"/>
      <c r="B7" s="16"/>
      <c r="C7" s="17"/>
      <c r="D7" s="18"/>
      <c r="E7" s="16"/>
      <c r="F7" s="17"/>
      <c r="G7" s="17"/>
      <c r="H7" s="17"/>
      <c r="I7" s="17"/>
      <c r="J7" s="18"/>
      <c r="K7" s="16" t="s">
        <v>30</v>
      </c>
      <c r="L7" s="17"/>
      <c r="M7" s="17"/>
      <c r="N7" s="17"/>
      <c r="O7" s="17"/>
      <c r="P7" s="18"/>
      <c r="Q7" s="16" t="s">
        <v>31</v>
      </c>
      <c r="R7" s="17"/>
      <c r="S7" s="17"/>
      <c r="T7" s="17"/>
      <c r="U7" s="17"/>
      <c r="V7" s="18"/>
      <c r="W7" s="16"/>
      <c r="X7" s="17"/>
      <c r="Y7" s="17"/>
      <c r="Z7" s="17"/>
      <c r="AA7" s="17"/>
      <c r="AB7" s="18"/>
      <c r="AC7" s="16"/>
      <c r="AD7" s="17"/>
      <c r="AE7" s="17"/>
      <c r="AF7" s="17"/>
      <c r="AG7" s="17"/>
      <c r="AH7" s="17"/>
      <c r="AI7" s="16"/>
      <c r="AJ7" s="17"/>
      <c r="AK7" s="17"/>
      <c r="AL7" s="17"/>
      <c r="AM7" s="17"/>
      <c r="AN7" s="18"/>
      <c r="AO7" s="17" t="s">
        <v>32</v>
      </c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8"/>
      <c r="BF7" s="1"/>
    </row>
    <row r="8" spans="1:58" ht="21" customHeight="1">
      <c r="A8" s="1"/>
      <c r="B8" s="16"/>
      <c r="C8" s="17"/>
      <c r="D8" s="18"/>
      <c r="E8" s="16"/>
      <c r="F8" s="17"/>
      <c r="G8" s="17"/>
      <c r="H8" s="17"/>
      <c r="I8" s="17"/>
      <c r="J8" s="18"/>
      <c r="K8" s="16" t="s">
        <v>33</v>
      </c>
      <c r="L8" s="17"/>
      <c r="M8" s="17"/>
      <c r="N8" s="17"/>
      <c r="O8" s="17"/>
      <c r="P8" s="18"/>
      <c r="Q8" s="16" t="s">
        <v>34</v>
      </c>
      <c r="R8" s="17"/>
      <c r="S8" s="17"/>
      <c r="T8" s="17"/>
      <c r="U8" s="17"/>
      <c r="V8" s="18"/>
      <c r="W8" s="16"/>
      <c r="X8" s="17"/>
      <c r="Y8" s="17"/>
      <c r="Z8" s="17"/>
      <c r="AA8" s="17"/>
      <c r="AB8" s="18"/>
      <c r="AC8" s="16"/>
      <c r="AD8" s="17"/>
      <c r="AE8" s="17"/>
      <c r="AF8" s="17"/>
      <c r="AG8" s="17"/>
      <c r="AH8" s="17"/>
      <c r="AI8" s="16"/>
      <c r="AJ8" s="17"/>
      <c r="AK8" s="17"/>
      <c r="AL8" s="17"/>
      <c r="AM8" s="17"/>
      <c r="AN8" s="18"/>
      <c r="AO8" s="17" t="s">
        <v>35</v>
      </c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8"/>
      <c r="BF8" s="1"/>
    </row>
    <row r="9" spans="1:58" ht="21" customHeight="1">
      <c r="A9" s="1"/>
      <c r="B9" s="16"/>
      <c r="C9" s="17"/>
      <c r="D9" s="18"/>
      <c r="E9" s="16"/>
      <c r="F9" s="17"/>
      <c r="G9" s="17"/>
      <c r="H9" s="17"/>
      <c r="I9" s="17"/>
      <c r="J9" s="18"/>
      <c r="K9" s="16" t="s">
        <v>36</v>
      </c>
      <c r="L9" s="17"/>
      <c r="M9" s="17"/>
      <c r="N9" s="17"/>
      <c r="O9" s="17"/>
      <c r="P9" s="18"/>
      <c r="Q9" s="16" t="s">
        <v>37</v>
      </c>
      <c r="R9" s="17"/>
      <c r="S9" s="17"/>
      <c r="T9" s="17"/>
      <c r="U9" s="17"/>
      <c r="V9" s="18"/>
      <c r="W9" s="16"/>
      <c r="X9" s="17"/>
      <c r="Y9" s="17"/>
      <c r="Z9" s="17"/>
      <c r="AA9" s="17"/>
      <c r="AB9" s="18"/>
      <c r="AC9" s="16"/>
      <c r="AD9" s="17"/>
      <c r="AE9" s="17"/>
      <c r="AF9" s="17"/>
      <c r="AG9" s="17"/>
      <c r="AH9" s="17"/>
      <c r="AI9" s="16"/>
      <c r="AJ9" s="17"/>
      <c r="AK9" s="17"/>
      <c r="AL9" s="17"/>
      <c r="AM9" s="17"/>
      <c r="AN9" s="18"/>
      <c r="AO9" s="17" t="s">
        <v>38</v>
      </c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8"/>
      <c r="BF9" s="1"/>
    </row>
    <row r="10" spans="1:58" ht="21" customHeight="1">
      <c r="A10" s="1"/>
      <c r="B10" s="16"/>
      <c r="C10" s="17"/>
      <c r="D10" s="18"/>
      <c r="E10" s="16"/>
      <c r="F10" s="17"/>
      <c r="G10" s="17"/>
      <c r="H10" s="17"/>
      <c r="I10" s="17"/>
      <c r="J10" s="18"/>
      <c r="K10" s="16" t="s">
        <v>39</v>
      </c>
      <c r="L10" s="17"/>
      <c r="M10" s="17"/>
      <c r="N10" s="17"/>
      <c r="O10" s="17"/>
      <c r="P10" s="18"/>
      <c r="Q10" s="16" t="s">
        <v>40</v>
      </c>
      <c r="R10" s="17"/>
      <c r="S10" s="17"/>
      <c r="T10" s="17"/>
      <c r="U10" s="17"/>
      <c r="V10" s="18"/>
      <c r="W10" s="16"/>
      <c r="X10" s="17"/>
      <c r="Y10" s="17"/>
      <c r="Z10" s="17"/>
      <c r="AA10" s="17"/>
      <c r="AB10" s="18"/>
      <c r="AC10" s="16"/>
      <c r="AD10" s="17"/>
      <c r="AE10" s="17"/>
      <c r="AF10" s="17"/>
      <c r="AG10" s="17"/>
      <c r="AH10" s="17"/>
      <c r="AI10" s="16"/>
      <c r="AJ10" s="17"/>
      <c r="AK10" s="17"/>
      <c r="AL10" s="17"/>
      <c r="AM10" s="17"/>
      <c r="AN10" s="18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8"/>
      <c r="BF10" s="1"/>
    </row>
    <row r="11" spans="1:58" ht="21" customHeight="1">
      <c r="A11" s="1"/>
      <c r="B11" s="16"/>
      <c r="C11" s="17"/>
      <c r="D11" s="18"/>
      <c r="E11" s="16"/>
      <c r="F11" s="17"/>
      <c r="G11" s="17"/>
      <c r="H11" s="17"/>
      <c r="I11" s="17"/>
      <c r="J11" s="18"/>
      <c r="K11" s="16" t="s">
        <v>41</v>
      </c>
      <c r="L11" s="17"/>
      <c r="M11" s="17"/>
      <c r="N11" s="17"/>
      <c r="O11" s="17"/>
      <c r="P11" s="18"/>
      <c r="Q11" s="16" t="s">
        <v>42</v>
      </c>
      <c r="R11" s="17"/>
      <c r="S11" s="17"/>
      <c r="T11" s="17"/>
      <c r="U11" s="17"/>
      <c r="V11" s="18"/>
      <c r="W11" s="16"/>
      <c r="X11" s="17"/>
      <c r="Y11" s="17"/>
      <c r="Z11" s="17"/>
      <c r="AA11" s="17"/>
      <c r="AB11" s="18"/>
      <c r="AC11" s="16"/>
      <c r="AD11" s="17"/>
      <c r="AE11" s="17"/>
      <c r="AF11" s="17"/>
      <c r="AG11" s="17"/>
      <c r="AH11" s="17"/>
      <c r="AI11" s="16"/>
      <c r="AJ11" s="17"/>
      <c r="AK11" s="17"/>
      <c r="AL11" s="17"/>
      <c r="AM11" s="17"/>
      <c r="AN11" s="18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8"/>
      <c r="BF11" s="1"/>
    </row>
    <row r="12" spans="1:58" ht="21" customHeight="1">
      <c r="A12" s="1"/>
      <c r="B12" s="16"/>
      <c r="C12" s="17"/>
      <c r="D12" s="18"/>
      <c r="E12" s="16"/>
      <c r="F12" s="17"/>
      <c r="G12" s="17"/>
      <c r="H12" s="17"/>
      <c r="I12" s="17"/>
      <c r="J12" s="18"/>
      <c r="K12" s="16" t="s">
        <v>43</v>
      </c>
      <c r="L12" s="17"/>
      <c r="M12" s="17"/>
      <c r="N12" s="17"/>
      <c r="O12" s="17"/>
      <c r="P12" s="18"/>
      <c r="Q12" s="16" t="s">
        <v>44</v>
      </c>
      <c r="R12" s="17"/>
      <c r="S12" s="17"/>
      <c r="T12" s="17"/>
      <c r="U12" s="17"/>
      <c r="V12" s="18"/>
      <c r="W12" s="16"/>
      <c r="X12" s="17"/>
      <c r="Y12" s="17"/>
      <c r="Z12" s="17"/>
      <c r="AA12" s="17"/>
      <c r="AB12" s="18"/>
      <c r="AC12" s="16"/>
      <c r="AD12" s="17"/>
      <c r="AE12" s="17"/>
      <c r="AF12" s="17"/>
      <c r="AG12" s="17"/>
      <c r="AH12" s="17"/>
      <c r="AI12" s="16"/>
      <c r="AJ12" s="17"/>
      <c r="AK12" s="17"/>
      <c r="AL12" s="17"/>
      <c r="AM12" s="17"/>
      <c r="AN12" s="18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8"/>
      <c r="BF12" s="1"/>
    </row>
    <row r="13" spans="1:58" ht="21" customHeight="1">
      <c r="A13" s="1"/>
      <c r="B13" s="16"/>
      <c r="C13" s="17"/>
      <c r="D13" s="18"/>
      <c r="E13" s="16"/>
      <c r="F13" s="17"/>
      <c r="G13" s="17"/>
      <c r="H13" s="17"/>
      <c r="I13" s="17"/>
      <c r="J13" s="18"/>
      <c r="K13" s="16" t="s">
        <v>45</v>
      </c>
      <c r="L13" s="17"/>
      <c r="M13" s="17"/>
      <c r="N13" s="17"/>
      <c r="O13" s="17"/>
      <c r="P13" s="18"/>
      <c r="Q13" s="16" t="s">
        <v>46</v>
      </c>
      <c r="R13" s="17"/>
      <c r="S13" s="17"/>
      <c r="T13" s="17"/>
      <c r="U13" s="17"/>
      <c r="V13" s="18"/>
      <c r="W13" s="16"/>
      <c r="X13" s="17"/>
      <c r="Y13" s="17"/>
      <c r="Z13" s="17"/>
      <c r="AA13" s="17"/>
      <c r="AB13" s="18"/>
      <c r="AC13" s="16"/>
      <c r="AD13" s="17"/>
      <c r="AE13" s="17"/>
      <c r="AF13" s="17"/>
      <c r="AG13" s="17"/>
      <c r="AH13" s="17"/>
      <c r="AI13" s="16"/>
      <c r="AJ13" s="17"/>
      <c r="AK13" s="17"/>
      <c r="AL13" s="17"/>
      <c r="AM13" s="17"/>
      <c r="AN13" s="18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8"/>
      <c r="BF13" s="1"/>
    </row>
    <row r="14" spans="1:58" ht="21" customHeight="1">
      <c r="A14" s="1"/>
      <c r="B14" s="16"/>
      <c r="C14" s="17"/>
      <c r="D14" s="18"/>
      <c r="E14" s="16"/>
      <c r="F14" s="17"/>
      <c r="G14" s="17"/>
      <c r="H14" s="17"/>
      <c r="I14" s="17"/>
      <c r="J14" s="18"/>
      <c r="K14" s="17" t="s">
        <v>47</v>
      </c>
      <c r="L14" s="8"/>
      <c r="M14" s="17"/>
      <c r="N14" s="17"/>
      <c r="O14" s="17"/>
      <c r="P14" s="18"/>
      <c r="Q14" s="16" t="s">
        <v>48</v>
      </c>
      <c r="R14" s="17"/>
      <c r="S14" s="17"/>
      <c r="T14" s="17"/>
      <c r="U14" s="17"/>
      <c r="V14" s="18"/>
      <c r="W14" s="16"/>
      <c r="X14" s="17"/>
      <c r="Y14" s="17"/>
      <c r="Z14" s="17"/>
      <c r="AA14" s="17"/>
      <c r="AB14" s="18"/>
      <c r="AC14" s="16"/>
      <c r="AD14" s="17"/>
      <c r="AE14" s="17"/>
      <c r="AF14" s="17"/>
      <c r="AG14" s="17"/>
      <c r="AH14" s="17"/>
      <c r="AI14" s="16"/>
      <c r="AJ14" s="17"/>
      <c r="AK14" s="17"/>
      <c r="AL14" s="17"/>
      <c r="AM14" s="17"/>
      <c r="AN14" s="18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8"/>
      <c r="BF14" s="1"/>
    </row>
    <row r="15" spans="1:58" ht="21" customHeight="1">
      <c r="A15" s="1"/>
      <c r="B15" s="16"/>
      <c r="C15" s="17"/>
      <c r="D15" s="18"/>
      <c r="E15" s="16"/>
      <c r="F15" s="17"/>
      <c r="G15" s="17"/>
      <c r="H15" s="17"/>
      <c r="I15" s="17"/>
      <c r="J15" s="18"/>
      <c r="K15" s="16" t="s">
        <v>49</v>
      </c>
      <c r="L15" s="17"/>
      <c r="M15" s="17"/>
      <c r="N15" s="17"/>
      <c r="O15" s="17"/>
      <c r="P15" s="18"/>
      <c r="Q15" s="16" t="s">
        <v>50</v>
      </c>
      <c r="R15" s="17"/>
      <c r="S15" s="17"/>
      <c r="T15" s="17"/>
      <c r="U15" s="17"/>
      <c r="V15" s="18"/>
      <c r="W15" s="16"/>
      <c r="X15" s="17"/>
      <c r="Y15" s="17"/>
      <c r="Z15" s="17"/>
      <c r="AA15" s="17"/>
      <c r="AB15" s="18"/>
      <c r="AC15" s="16"/>
      <c r="AD15" s="17"/>
      <c r="AE15" s="17"/>
      <c r="AF15" s="17"/>
      <c r="AG15" s="17"/>
      <c r="AH15" s="17"/>
      <c r="AI15" s="16"/>
      <c r="AJ15" s="17"/>
      <c r="AK15" s="17"/>
      <c r="AL15" s="17"/>
      <c r="AM15" s="17"/>
      <c r="AN15" s="18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8"/>
      <c r="BF15" s="1"/>
    </row>
    <row r="16" spans="1:58" ht="21" customHeight="1">
      <c r="A16" s="1"/>
      <c r="B16" s="16"/>
      <c r="C16" s="17"/>
      <c r="D16" s="18"/>
      <c r="E16" s="16"/>
      <c r="F16" s="17"/>
      <c r="G16" s="17"/>
      <c r="H16" s="17"/>
      <c r="I16" s="17"/>
      <c r="J16" s="18"/>
      <c r="K16" s="16" t="s">
        <v>51</v>
      </c>
      <c r="L16" s="17"/>
      <c r="M16" s="17"/>
      <c r="N16" s="17"/>
      <c r="O16" s="17"/>
      <c r="P16" s="18"/>
      <c r="Q16" s="16" t="s">
        <v>52</v>
      </c>
      <c r="R16" s="17"/>
      <c r="S16" s="17"/>
      <c r="T16" s="17"/>
      <c r="U16" s="17"/>
      <c r="V16" s="18"/>
      <c r="W16" s="16"/>
      <c r="X16" s="17"/>
      <c r="Y16" s="17"/>
      <c r="Z16" s="17"/>
      <c r="AA16" s="17"/>
      <c r="AB16" s="18"/>
      <c r="AC16" s="16"/>
      <c r="AD16" s="17"/>
      <c r="AE16" s="17"/>
      <c r="AF16" s="17"/>
      <c r="AG16" s="17"/>
      <c r="AH16" s="17"/>
      <c r="AI16" s="16"/>
      <c r="AJ16" s="17"/>
      <c r="AK16" s="17"/>
      <c r="AL16" s="17"/>
      <c r="AM16" s="17"/>
      <c r="AN16" s="18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8"/>
      <c r="BF16" s="1"/>
    </row>
    <row r="17" spans="1:58" ht="21" customHeight="1">
      <c r="A17" s="1"/>
      <c r="B17" s="16"/>
      <c r="C17" s="17"/>
      <c r="D17" s="18"/>
      <c r="E17" s="16"/>
      <c r="F17" s="17"/>
      <c r="G17" s="17"/>
      <c r="H17" s="17"/>
      <c r="I17" s="17"/>
      <c r="J17" s="18"/>
      <c r="K17" s="16" t="s">
        <v>53</v>
      </c>
      <c r="L17" s="17"/>
      <c r="M17" s="17"/>
      <c r="N17" s="17"/>
      <c r="O17" s="17"/>
      <c r="P17" s="18"/>
      <c r="Q17" s="16" t="s">
        <v>54</v>
      </c>
      <c r="R17" s="17"/>
      <c r="S17" s="17"/>
      <c r="T17" s="17"/>
      <c r="U17" s="17"/>
      <c r="V17" s="18"/>
      <c r="W17" s="16"/>
      <c r="X17" s="17"/>
      <c r="Y17" s="17"/>
      <c r="Z17" s="17"/>
      <c r="AA17" s="17"/>
      <c r="AB17" s="18"/>
      <c r="AC17" s="16"/>
      <c r="AD17" s="17"/>
      <c r="AE17" s="17"/>
      <c r="AF17" s="17"/>
      <c r="AG17" s="17"/>
      <c r="AH17" s="17"/>
      <c r="AI17" s="16"/>
      <c r="AJ17" s="17"/>
      <c r="AK17" s="17"/>
      <c r="AL17" s="17"/>
      <c r="AM17" s="17"/>
      <c r="AN17" s="18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8"/>
      <c r="BF17" s="1"/>
    </row>
    <row r="18" spans="1:58" ht="21" customHeight="1">
      <c r="A18" s="1"/>
      <c r="B18" s="16"/>
      <c r="C18" s="17"/>
      <c r="D18" s="18"/>
      <c r="E18" s="16"/>
      <c r="F18" s="17"/>
      <c r="G18" s="17"/>
      <c r="H18" s="17"/>
      <c r="I18" s="17"/>
      <c r="J18" s="18"/>
      <c r="K18" s="16" t="s">
        <v>55</v>
      </c>
      <c r="L18" s="17"/>
      <c r="M18" s="17"/>
      <c r="N18" s="17"/>
      <c r="O18" s="17"/>
      <c r="P18" s="18"/>
      <c r="Q18" s="16" t="s">
        <v>54</v>
      </c>
      <c r="R18" s="17"/>
      <c r="S18" s="17"/>
      <c r="T18" s="17"/>
      <c r="U18" s="17"/>
      <c r="V18" s="18"/>
      <c r="W18" s="16"/>
      <c r="X18" s="17"/>
      <c r="Y18" s="17"/>
      <c r="Z18" s="17"/>
      <c r="AA18" s="17"/>
      <c r="AB18" s="18"/>
      <c r="AC18" s="16"/>
      <c r="AD18" s="17"/>
      <c r="AE18" s="17"/>
      <c r="AF18" s="17"/>
      <c r="AG18" s="17"/>
      <c r="AH18" s="17"/>
      <c r="AI18" s="16"/>
      <c r="AJ18" s="17"/>
      <c r="AK18" s="17"/>
      <c r="AL18" s="17"/>
      <c r="AM18" s="17"/>
      <c r="AN18" s="18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8"/>
      <c r="BF18" s="1"/>
    </row>
    <row r="19" spans="1:58" ht="21" customHeight="1">
      <c r="A19" s="1"/>
      <c r="B19" s="16"/>
      <c r="C19" s="17"/>
      <c r="D19" s="18"/>
      <c r="E19" s="16"/>
      <c r="F19" s="17"/>
      <c r="G19" s="17"/>
      <c r="H19" s="17"/>
      <c r="I19" s="17"/>
      <c r="J19" s="18"/>
      <c r="K19" s="16" t="s">
        <v>56</v>
      </c>
      <c r="L19" s="17"/>
      <c r="M19" s="17"/>
      <c r="N19" s="17"/>
      <c r="O19" s="17"/>
      <c r="P19" s="18"/>
      <c r="Q19" s="16" t="s">
        <v>57</v>
      </c>
      <c r="R19" s="17"/>
      <c r="S19" s="17"/>
      <c r="T19" s="17"/>
      <c r="U19" s="17"/>
      <c r="V19" s="18"/>
      <c r="W19" s="16"/>
      <c r="X19" s="17"/>
      <c r="Y19" s="17"/>
      <c r="Z19" s="17"/>
      <c r="AA19" s="17"/>
      <c r="AB19" s="18"/>
      <c r="AC19" s="16"/>
      <c r="AD19" s="17"/>
      <c r="AE19" s="17"/>
      <c r="AF19" s="17"/>
      <c r="AG19" s="17"/>
      <c r="AH19" s="17"/>
      <c r="AI19" s="16"/>
      <c r="AJ19" s="17"/>
      <c r="AK19" s="17"/>
      <c r="AL19" s="17"/>
      <c r="AM19" s="17"/>
      <c r="AN19" s="18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8"/>
      <c r="BF19" s="1"/>
    </row>
    <row r="20" spans="1:58" ht="21" customHeight="1">
      <c r="A20" s="1"/>
      <c r="B20" s="16"/>
      <c r="C20" s="17"/>
      <c r="D20" s="18"/>
      <c r="E20" s="16"/>
      <c r="F20" s="17"/>
      <c r="G20" s="17"/>
      <c r="H20" s="17"/>
      <c r="I20" s="17"/>
      <c r="J20" s="18"/>
      <c r="K20" s="16" t="s">
        <v>58</v>
      </c>
      <c r="L20" s="17"/>
      <c r="M20" s="17"/>
      <c r="N20" s="17"/>
      <c r="O20" s="17"/>
      <c r="P20" s="18"/>
      <c r="Q20" s="16" t="s">
        <v>59</v>
      </c>
      <c r="R20" s="17"/>
      <c r="S20" s="17"/>
      <c r="T20" s="17"/>
      <c r="U20" s="17"/>
      <c r="V20" s="18"/>
      <c r="W20" s="16"/>
      <c r="X20" s="17"/>
      <c r="Y20" s="17"/>
      <c r="Z20" s="17"/>
      <c r="AA20" s="17"/>
      <c r="AB20" s="18"/>
      <c r="AC20" s="16"/>
      <c r="AD20" s="17"/>
      <c r="AE20" s="17"/>
      <c r="AF20" s="17"/>
      <c r="AG20" s="17"/>
      <c r="AH20" s="17"/>
      <c r="AI20" s="16"/>
      <c r="AJ20" s="17"/>
      <c r="AK20" s="17"/>
      <c r="AL20" s="17"/>
      <c r="AM20" s="17"/>
      <c r="AN20" s="18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8"/>
      <c r="BF20" s="1"/>
    </row>
    <row r="21" spans="1:58" ht="21" customHeight="1">
      <c r="A21" s="1"/>
      <c r="B21" s="16"/>
      <c r="C21" s="17"/>
      <c r="D21" s="18"/>
      <c r="E21" s="16"/>
      <c r="F21" s="17"/>
      <c r="G21" s="17"/>
      <c r="H21" s="17"/>
      <c r="I21" s="17"/>
      <c r="J21" s="18"/>
      <c r="K21" s="16" t="s">
        <v>60</v>
      </c>
      <c r="L21" s="17"/>
      <c r="M21" s="17"/>
      <c r="N21" s="17"/>
      <c r="O21" s="17"/>
      <c r="P21" s="18"/>
      <c r="Q21" s="16" t="s">
        <v>61</v>
      </c>
      <c r="R21" s="17"/>
      <c r="S21" s="17"/>
      <c r="T21" s="17"/>
      <c r="U21" s="17"/>
      <c r="V21" s="18"/>
      <c r="W21" s="16"/>
      <c r="X21" s="17"/>
      <c r="Y21" s="17"/>
      <c r="Z21" s="17"/>
      <c r="AA21" s="17"/>
      <c r="AB21" s="18"/>
      <c r="AC21" s="16"/>
      <c r="AD21" s="17"/>
      <c r="AE21" s="17"/>
      <c r="AF21" s="17"/>
      <c r="AG21" s="17"/>
      <c r="AH21" s="17"/>
      <c r="AI21" s="16"/>
      <c r="AJ21" s="17"/>
      <c r="AK21" s="17"/>
      <c r="AL21" s="17"/>
      <c r="AM21" s="17"/>
      <c r="AN21" s="18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8"/>
      <c r="BF21" s="1"/>
    </row>
    <row r="22" spans="1:58" ht="21" customHeight="1">
      <c r="A22" s="1"/>
      <c r="B22" s="16"/>
      <c r="C22" s="17"/>
      <c r="D22" s="18"/>
      <c r="E22" s="16"/>
      <c r="F22" s="17"/>
      <c r="G22" s="17"/>
      <c r="H22" s="17"/>
      <c r="I22" s="17"/>
      <c r="J22" s="18"/>
      <c r="K22" s="16" t="s">
        <v>62</v>
      </c>
      <c r="L22" s="17"/>
      <c r="M22" s="17"/>
      <c r="N22" s="17"/>
      <c r="O22" s="17"/>
      <c r="P22" s="18"/>
      <c r="Q22" s="16" t="s">
        <v>63</v>
      </c>
      <c r="R22" s="17"/>
      <c r="S22" s="17"/>
      <c r="T22" s="17"/>
      <c r="U22" s="17"/>
      <c r="V22" s="18"/>
      <c r="W22" s="16"/>
      <c r="X22" s="17"/>
      <c r="Y22" s="17"/>
      <c r="Z22" s="17"/>
      <c r="AA22" s="17"/>
      <c r="AB22" s="18"/>
      <c r="AC22" s="16"/>
      <c r="AD22" s="17"/>
      <c r="AE22" s="17"/>
      <c r="AF22" s="17"/>
      <c r="AG22" s="17"/>
      <c r="AH22" s="17"/>
      <c r="AI22" s="16"/>
      <c r="AJ22" s="17"/>
      <c r="AK22" s="17"/>
      <c r="AL22" s="17"/>
      <c r="AM22" s="17"/>
      <c r="AN22" s="18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8"/>
      <c r="BF22" s="1"/>
    </row>
    <row r="23" spans="1:58" ht="21" customHeight="1">
      <c r="A23" s="1"/>
      <c r="B23" s="16"/>
      <c r="C23" s="17"/>
      <c r="D23" s="18"/>
      <c r="E23" s="16"/>
      <c r="F23" s="17"/>
      <c r="G23" s="17"/>
      <c r="H23" s="17"/>
      <c r="I23" s="17"/>
      <c r="J23" s="18"/>
      <c r="K23" s="16"/>
      <c r="L23" s="17"/>
      <c r="M23" s="17"/>
      <c r="N23" s="17"/>
      <c r="O23" s="17"/>
      <c r="P23" s="18"/>
      <c r="Q23" s="16" t="s">
        <v>64</v>
      </c>
      <c r="R23" s="17"/>
      <c r="S23" s="17"/>
      <c r="T23" s="17"/>
      <c r="U23" s="17"/>
      <c r="V23" s="18"/>
      <c r="W23" s="16"/>
      <c r="X23" s="17"/>
      <c r="Y23" s="17"/>
      <c r="Z23" s="17"/>
      <c r="AA23" s="17"/>
      <c r="AB23" s="18"/>
      <c r="AC23" s="16"/>
      <c r="AD23" s="17"/>
      <c r="AE23" s="17"/>
      <c r="AF23" s="17"/>
      <c r="AG23" s="17"/>
      <c r="AH23" s="17"/>
      <c r="AI23" s="16"/>
      <c r="AJ23" s="17"/>
      <c r="AK23" s="17"/>
      <c r="AL23" s="17"/>
      <c r="AM23" s="17"/>
      <c r="AN23" s="18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8"/>
      <c r="BF23" s="1"/>
    </row>
    <row r="24" spans="1:58" ht="21" customHeight="1">
      <c r="A24" s="1"/>
      <c r="B24" s="16"/>
      <c r="C24" s="17"/>
      <c r="D24" s="18"/>
      <c r="E24" s="16"/>
      <c r="F24" s="17"/>
      <c r="G24" s="17"/>
      <c r="H24" s="17"/>
      <c r="I24" s="17"/>
      <c r="J24" s="18"/>
      <c r="K24" s="16"/>
      <c r="L24" s="17"/>
      <c r="M24" s="17"/>
      <c r="N24" s="17"/>
      <c r="O24" s="17"/>
      <c r="P24" s="18"/>
      <c r="Q24" s="16" t="s">
        <v>65</v>
      </c>
      <c r="R24" s="17"/>
      <c r="S24" s="17"/>
      <c r="T24" s="17"/>
      <c r="U24" s="17"/>
      <c r="V24" s="18"/>
      <c r="W24" s="16"/>
      <c r="X24" s="17"/>
      <c r="Y24" s="17"/>
      <c r="Z24" s="17"/>
      <c r="AA24" s="17"/>
      <c r="AB24" s="18"/>
      <c r="AC24" s="16"/>
      <c r="AD24" s="17"/>
      <c r="AE24" s="17"/>
      <c r="AF24" s="17"/>
      <c r="AG24" s="17"/>
      <c r="AH24" s="17"/>
      <c r="AI24" s="16"/>
      <c r="AJ24" s="17"/>
      <c r="AK24" s="17"/>
      <c r="AL24" s="17"/>
      <c r="AM24" s="17"/>
      <c r="AN24" s="18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8"/>
      <c r="BF24" s="1"/>
    </row>
    <row r="25" spans="1:58" ht="21" customHeight="1">
      <c r="A25" s="1"/>
      <c r="B25" s="16"/>
      <c r="C25" s="17"/>
      <c r="D25" s="18"/>
      <c r="E25" s="16"/>
      <c r="F25" s="17"/>
      <c r="G25" s="17"/>
      <c r="H25" s="17"/>
      <c r="I25" s="17"/>
      <c r="J25" s="18"/>
      <c r="K25" s="16"/>
      <c r="L25" s="17"/>
      <c r="M25" s="17"/>
      <c r="N25" s="17"/>
      <c r="O25" s="17"/>
      <c r="P25" s="18"/>
      <c r="Q25" s="16" t="s">
        <v>66</v>
      </c>
      <c r="R25" s="17"/>
      <c r="S25" s="17"/>
      <c r="T25" s="17"/>
      <c r="U25" s="17"/>
      <c r="V25" s="18"/>
      <c r="W25" s="16"/>
      <c r="X25" s="17"/>
      <c r="Y25" s="17"/>
      <c r="Z25" s="17"/>
      <c r="AA25" s="17"/>
      <c r="AB25" s="18"/>
      <c r="AC25" s="16"/>
      <c r="AD25" s="17"/>
      <c r="AE25" s="17"/>
      <c r="AF25" s="17"/>
      <c r="AG25" s="17"/>
      <c r="AH25" s="17"/>
      <c r="AI25" s="16"/>
      <c r="AJ25" s="17"/>
      <c r="AK25" s="17"/>
      <c r="AL25" s="17"/>
      <c r="AM25" s="17"/>
      <c r="AN25" s="18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8"/>
      <c r="BF25" s="1"/>
    </row>
    <row r="26" spans="1:58" ht="21" customHeight="1">
      <c r="A26" s="1"/>
      <c r="B26" s="16"/>
      <c r="C26" s="17"/>
      <c r="D26" s="18"/>
      <c r="E26" s="16"/>
      <c r="F26" s="17"/>
      <c r="G26" s="17"/>
      <c r="H26" s="17"/>
      <c r="I26" s="17"/>
      <c r="J26" s="18"/>
      <c r="K26" s="16"/>
      <c r="L26" s="17"/>
      <c r="M26" s="17"/>
      <c r="N26" s="17"/>
      <c r="O26" s="17"/>
      <c r="P26" s="18"/>
      <c r="Q26" s="16" t="s">
        <v>67</v>
      </c>
      <c r="R26" s="17"/>
      <c r="S26" s="17"/>
      <c r="T26" s="17"/>
      <c r="U26" s="17"/>
      <c r="V26" s="18"/>
      <c r="W26" s="16"/>
      <c r="X26" s="17"/>
      <c r="Y26" s="17"/>
      <c r="Z26" s="17"/>
      <c r="AA26" s="17"/>
      <c r="AB26" s="18"/>
      <c r="AC26" s="16"/>
      <c r="AD26" s="17"/>
      <c r="AE26" s="17"/>
      <c r="AF26" s="17"/>
      <c r="AG26" s="17"/>
      <c r="AH26" s="17"/>
      <c r="AI26" s="16"/>
      <c r="AJ26" s="17"/>
      <c r="AK26" s="17"/>
      <c r="AL26" s="17"/>
      <c r="AM26" s="17"/>
      <c r="AN26" s="18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8"/>
      <c r="BF26" s="1"/>
    </row>
    <row r="27" spans="1:58" ht="21" customHeight="1">
      <c r="A27" s="1"/>
      <c r="B27" s="16"/>
      <c r="C27" s="17"/>
      <c r="D27" s="18"/>
      <c r="E27" s="16"/>
      <c r="F27" s="17"/>
      <c r="G27" s="17"/>
      <c r="H27" s="17"/>
      <c r="I27" s="17"/>
      <c r="J27" s="18"/>
      <c r="K27" s="16"/>
      <c r="L27" s="17"/>
      <c r="M27" s="17"/>
      <c r="N27" s="17"/>
      <c r="O27" s="17"/>
      <c r="P27" s="18"/>
      <c r="Q27" s="16" t="s">
        <v>68</v>
      </c>
      <c r="R27" s="17"/>
      <c r="S27" s="17"/>
      <c r="T27" s="17"/>
      <c r="U27" s="17"/>
      <c r="V27" s="18"/>
      <c r="W27" s="16"/>
      <c r="X27" s="17"/>
      <c r="Y27" s="17"/>
      <c r="Z27" s="17"/>
      <c r="AA27" s="17"/>
      <c r="AB27" s="18"/>
      <c r="AC27" s="16"/>
      <c r="AD27" s="17"/>
      <c r="AE27" s="17"/>
      <c r="AF27" s="17"/>
      <c r="AG27" s="17"/>
      <c r="AH27" s="17"/>
      <c r="AI27" s="16"/>
      <c r="AJ27" s="17"/>
      <c r="AK27" s="17"/>
      <c r="AL27" s="17"/>
      <c r="AM27" s="17"/>
      <c r="AN27" s="18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8"/>
      <c r="BF27" s="1"/>
    </row>
    <row r="28" spans="1:58" ht="21" customHeight="1">
      <c r="A28" s="1"/>
      <c r="B28" s="16"/>
      <c r="C28" s="17"/>
      <c r="D28" s="18"/>
      <c r="E28" s="16"/>
      <c r="F28" s="17"/>
      <c r="G28" s="17"/>
      <c r="H28" s="17"/>
      <c r="I28" s="17"/>
      <c r="J28" s="18"/>
      <c r="K28" s="16"/>
      <c r="L28" s="17"/>
      <c r="M28" s="17"/>
      <c r="N28" s="17"/>
      <c r="O28" s="17"/>
      <c r="P28" s="18"/>
      <c r="Q28" s="16" t="s">
        <v>69</v>
      </c>
      <c r="R28" s="17"/>
      <c r="S28" s="17"/>
      <c r="T28" s="17"/>
      <c r="U28" s="17"/>
      <c r="V28" s="18"/>
      <c r="W28" s="16"/>
      <c r="X28" s="17"/>
      <c r="Y28" s="17"/>
      <c r="Z28" s="17"/>
      <c r="AA28" s="17"/>
      <c r="AB28" s="18"/>
      <c r="AC28" s="16"/>
      <c r="AD28" s="17"/>
      <c r="AE28" s="17"/>
      <c r="AF28" s="17"/>
      <c r="AG28" s="17"/>
      <c r="AH28" s="17"/>
      <c r="AI28" s="16"/>
      <c r="AJ28" s="17"/>
      <c r="AK28" s="17"/>
      <c r="AL28" s="17"/>
      <c r="AM28" s="17"/>
      <c r="AN28" s="18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8"/>
      <c r="BF28" s="1"/>
    </row>
    <row r="29" spans="1:58" ht="21" customHeight="1">
      <c r="A29" s="1"/>
      <c r="B29" s="16"/>
      <c r="C29" s="17"/>
      <c r="D29" s="18"/>
      <c r="E29" s="16"/>
      <c r="F29" s="17"/>
      <c r="G29" s="17"/>
      <c r="H29" s="17"/>
      <c r="I29" s="17"/>
      <c r="J29" s="18"/>
      <c r="K29" s="16"/>
      <c r="L29" s="17"/>
      <c r="M29" s="17"/>
      <c r="N29" s="17"/>
      <c r="O29" s="17"/>
      <c r="P29" s="18"/>
      <c r="Q29" s="16" t="s">
        <v>70</v>
      </c>
      <c r="R29" s="17"/>
      <c r="S29" s="17"/>
      <c r="T29" s="17"/>
      <c r="U29" s="17"/>
      <c r="V29" s="18"/>
      <c r="W29" s="16"/>
      <c r="X29" s="17"/>
      <c r="Y29" s="17"/>
      <c r="Z29" s="17"/>
      <c r="AA29" s="17"/>
      <c r="AB29" s="18"/>
      <c r="AC29" s="16"/>
      <c r="AD29" s="17"/>
      <c r="AE29" s="17"/>
      <c r="AF29" s="17"/>
      <c r="AG29" s="17"/>
      <c r="AH29" s="17"/>
      <c r="AI29" s="16"/>
      <c r="AJ29" s="17"/>
      <c r="AK29" s="17"/>
      <c r="AL29" s="17"/>
      <c r="AM29" s="17"/>
      <c r="AN29" s="18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8"/>
      <c r="BF29" s="1"/>
    </row>
    <row r="30" spans="1:58" ht="21" customHeight="1">
      <c r="A30" s="1"/>
      <c r="B30" s="16"/>
      <c r="C30" s="17"/>
      <c r="D30" s="18"/>
      <c r="E30" s="16"/>
      <c r="F30" s="17"/>
      <c r="G30" s="17"/>
      <c r="H30" s="17"/>
      <c r="I30" s="17"/>
      <c r="J30" s="18"/>
      <c r="K30" s="16"/>
      <c r="L30" s="17"/>
      <c r="M30" s="17"/>
      <c r="N30" s="17"/>
      <c r="O30" s="17"/>
      <c r="P30" s="18"/>
      <c r="Q30" s="16" t="s">
        <v>71</v>
      </c>
      <c r="R30" s="17"/>
      <c r="S30" s="17"/>
      <c r="T30" s="17"/>
      <c r="U30" s="17"/>
      <c r="V30" s="18"/>
      <c r="W30" s="16"/>
      <c r="X30" s="17"/>
      <c r="Y30" s="17"/>
      <c r="Z30" s="17"/>
      <c r="AA30" s="17"/>
      <c r="AB30" s="18"/>
      <c r="AC30" s="16"/>
      <c r="AD30" s="17"/>
      <c r="AE30" s="17"/>
      <c r="AF30" s="17"/>
      <c r="AG30" s="17"/>
      <c r="AH30" s="17"/>
      <c r="AI30" s="16"/>
      <c r="AJ30" s="17"/>
      <c r="AK30" s="17"/>
      <c r="AL30" s="17"/>
      <c r="AM30" s="17"/>
      <c r="AN30" s="18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8"/>
      <c r="BF30" s="1"/>
    </row>
    <row r="31" spans="1:58" ht="21" customHeight="1">
      <c r="A31" s="1"/>
      <c r="B31" s="16"/>
      <c r="C31" s="17"/>
      <c r="D31" s="18"/>
      <c r="E31" s="16"/>
      <c r="F31" s="17"/>
      <c r="G31" s="17"/>
      <c r="H31" s="17"/>
      <c r="I31" s="17"/>
      <c r="J31" s="18"/>
      <c r="K31" s="16"/>
      <c r="L31" s="17"/>
      <c r="M31" s="17"/>
      <c r="N31" s="17"/>
      <c r="O31" s="17"/>
      <c r="P31" s="18"/>
      <c r="Q31" s="16" t="s">
        <v>72</v>
      </c>
      <c r="R31" s="17"/>
      <c r="S31" s="17"/>
      <c r="T31" s="17"/>
      <c r="U31" s="17"/>
      <c r="V31" s="18"/>
      <c r="W31" s="16"/>
      <c r="X31" s="17"/>
      <c r="Y31" s="17"/>
      <c r="Z31" s="17"/>
      <c r="AA31" s="17"/>
      <c r="AB31" s="18"/>
      <c r="AC31" s="16"/>
      <c r="AD31" s="17"/>
      <c r="AE31" s="17"/>
      <c r="AF31" s="17"/>
      <c r="AG31" s="17"/>
      <c r="AH31" s="17"/>
      <c r="AI31" s="16"/>
      <c r="AJ31" s="17"/>
      <c r="AK31" s="17"/>
      <c r="AL31" s="17"/>
      <c r="AM31" s="17"/>
      <c r="AN31" s="18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8"/>
      <c r="BF31" s="1"/>
    </row>
    <row r="32" spans="1:58" ht="21" customHeight="1">
      <c r="A32" s="1"/>
      <c r="B32" s="16"/>
      <c r="C32" s="17"/>
      <c r="D32" s="18"/>
      <c r="E32" s="16"/>
      <c r="F32" s="17"/>
      <c r="G32" s="17"/>
      <c r="H32" s="17"/>
      <c r="I32" s="17"/>
      <c r="J32" s="18"/>
      <c r="K32" s="16"/>
      <c r="L32" s="17"/>
      <c r="M32" s="17"/>
      <c r="N32" s="17"/>
      <c r="O32" s="17"/>
      <c r="P32" s="18"/>
      <c r="Q32" s="16" t="s">
        <v>73</v>
      </c>
      <c r="R32" s="17"/>
      <c r="S32" s="17"/>
      <c r="T32" s="17"/>
      <c r="U32" s="17"/>
      <c r="V32" s="18"/>
      <c r="W32" s="16"/>
      <c r="X32" s="17"/>
      <c r="Y32" s="17"/>
      <c r="Z32" s="17"/>
      <c r="AA32" s="17"/>
      <c r="AB32" s="18"/>
      <c r="AC32" s="16"/>
      <c r="AD32" s="17"/>
      <c r="AE32" s="17"/>
      <c r="AF32" s="17"/>
      <c r="AG32" s="17"/>
      <c r="AH32" s="17"/>
      <c r="AI32" s="16"/>
      <c r="AJ32" s="17"/>
      <c r="AK32" s="17"/>
      <c r="AL32" s="17"/>
      <c r="AM32" s="17"/>
      <c r="AN32" s="18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8"/>
      <c r="BF32" s="1"/>
    </row>
    <row r="33" spans="1:58" ht="21" customHeight="1">
      <c r="A33" s="1"/>
      <c r="B33" s="16"/>
      <c r="C33" s="17"/>
      <c r="D33" s="18"/>
      <c r="E33" s="16"/>
      <c r="F33" s="17"/>
      <c r="G33" s="17"/>
      <c r="H33" s="17"/>
      <c r="I33" s="17"/>
      <c r="J33" s="18"/>
      <c r="K33" s="16"/>
      <c r="L33" s="17"/>
      <c r="M33" s="17"/>
      <c r="N33" s="17"/>
      <c r="O33" s="17"/>
      <c r="P33" s="18"/>
      <c r="Q33" s="16" t="s">
        <v>74</v>
      </c>
      <c r="R33" s="17"/>
      <c r="S33" s="17"/>
      <c r="T33" s="17"/>
      <c r="U33" s="17"/>
      <c r="V33" s="18"/>
      <c r="W33" s="16"/>
      <c r="X33" s="17"/>
      <c r="Y33" s="17"/>
      <c r="Z33" s="17"/>
      <c r="AA33" s="17"/>
      <c r="AB33" s="18"/>
      <c r="AC33" s="16"/>
      <c r="AD33" s="17"/>
      <c r="AE33" s="17"/>
      <c r="AF33" s="17"/>
      <c r="AG33" s="17"/>
      <c r="AH33" s="17"/>
      <c r="AI33" s="16"/>
      <c r="AJ33" s="17"/>
      <c r="AK33" s="17"/>
      <c r="AL33" s="17"/>
      <c r="AM33" s="17"/>
      <c r="AN33" s="18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8"/>
      <c r="BF33" s="1"/>
    </row>
    <row r="34" spans="1:58" ht="21" customHeight="1">
      <c r="A34" s="1"/>
      <c r="B34" s="16"/>
      <c r="C34" s="17"/>
      <c r="D34" s="18"/>
      <c r="E34" s="16"/>
      <c r="F34" s="17"/>
      <c r="G34" s="17"/>
      <c r="H34" s="17"/>
      <c r="I34" s="17"/>
      <c r="J34" s="18"/>
      <c r="K34" s="16"/>
      <c r="L34" s="17"/>
      <c r="M34" s="17"/>
      <c r="N34" s="17"/>
      <c r="O34" s="17"/>
      <c r="P34" s="18"/>
      <c r="Q34" s="16" t="s">
        <v>75</v>
      </c>
      <c r="R34" s="17"/>
      <c r="S34" s="17"/>
      <c r="T34" s="17"/>
      <c r="U34" s="17"/>
      <c r="V34" s="18"/>
      <c r="W34" s="16"/>
      <c r="X34" s="17"/>
      <c r="Y34" s="17"/>
      <c r="Z34" s="17"/>
      <c r="AA34" s="17"/>
      <c r="AB34" s="18"/>
      <c r="AC34" s="16"/>
      <c r="AD34" s="17"/>
      <c r="AE34" s="17"/>
      <c r="AF34" s="17"/>
      <c r="AG34" s="17"/>
      <c r="AH34" s="17"/>
      <c r="AI34" s="16"/>
      <c r="AJ34" s="17"/>
      <c r="AK34" s="17"/>
      <c r="AL34" s="17"/>
      <c r="AM34" s="17"/>
      <c r="AN34" s="18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8"/>
      <c r="BF34" s="1"/>
    </row>
    <row r="35" spans="1:58" ht="21" customHeight="1">
      <c r="A35" s="1"/>
      <c r="B35" s="16"/>
      <c r="C35" s="17"/>
      <c r="D35" s="18"/>
      <c r="E35" s="16"/>
      <c r="F35" s="17"/>
      <c r="G35" s="17"/>
      <c r="H35" s="17"/>
      <c r="I35" s="17"/>
      <c r="J35" s="18"/>
      <c r="K35" s="16"/>
      <c r="L35" s="17"/>
      <c r="M35" s="17"/>
      <c r="N35" s="17"/>
      <c r="O35" s="17"/>
      <c r="P35" s="18"/>
      <c r="Q35" s="16" t="s">
        <v>76</v>
      </c>
      <c r="R35" s="17"/>
      <c r="S35" s="17"/>
      <c r="T35" s="17"/>
      <c r="U35" s="17"/>
      <c r="V35" s="18"/>
      <c r="W35" s="16"/>
      <c r="X35" s="17"/>
      <c r="Y35" s="17"/>
      <c r="Z35" s="17"/>
      <c r="AA35" s="17"/>
      <c r="AB35" s="18"/>
      <c r="AC35" s="16"/>
      <c r="AD35" s="17"/>
      <c r="AE35" s="17"/>
      <c r="AF35" s="17"/>
      <c r="AG35" s="17"/>
      <c r="AH35" s="17"/>
      <c r="AI35" s="16"/>
      <c r="AJ35" s="17"/>
      <c r="AK35" s="17"/>
      <c r="AL35" s="17"/>
      <c r="AM35" s="17"/>
      <c r="AN35" s="18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8"/>
      <c r="BF35" s="1"/>
    </row>
    <row r="36" spans="1:58" ht="21" customHeight="1">
      <c r="A36" s="1"/>
      <c r="B36" s="16"/>
      <c r="C36" s="17"/>
      <c r="D36" s="18"/>
      <c r="E36" s="16"/>
      <c r="F36" s="17"/>
      <c r="G36" s="17"/>
      <c r="H36" s="17"/>
      <c r="I36" s="17"/>
      <c r="J36" s="18"/>
      <c r="K36" s="16"/>
      <c r="L36" s="17"/>
      <c r="M36" s="17"/>
      <c r="N36" s="17"/>
      <c r="O36" s="17"/>
      <c r="P36" s="18"/>
      <c r="Q36" s="16" t="s">
        <v>77</v>
      </c>
      <c r="R36" s="17"/>
      <c r="S36" s="17"/>
      <c r="T36" s="17"/>
      <c r="U36" s="17"/>
      <c r="V36" s="18"/>
      <c r="W36" s="16"/>
      <c r="X36" s="17"/>
      <c r="Y36" s="17"/>
      <c r="Z36" s="17"/>
      <c r="AA36" s="17"/>
      <c r="AB36" s="18"/>
      <c r="AC36" s="16"/>
      <c r="AD36" s="17"/>
      <c r="AE36" s="17"/>
      <c r="AF36" s="17"/>
      <c r="AG36" s="17"/>
      <c r="AH36" s="17"/>
      <c r="AI36" s="16"/>
      <c r="AJ36" s="17"/>
      <c r="AK36" s="17"/>
      <c r="AL36" s="17"/>
      <c r="AM36" s="17"/>
      <c r="AN36" s="18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8"/>
      <c r="BF36" s="1"/>
    </row>
    <row r="37" spans="1:58" ht="21" customHeight="1">
      <c r="A37" s="1"/>
      <c r="B37" s="16"/>
      <c r="C37" s="17"/>
      <c r="D37" s="18"/>
      <c r="E37" s="16"/>
      <c r="F37" s="17"/>
      <c r="G37" s="17"/>
      <c r="H37" s="17"/>
      <c r="I37" s="17"/>
      <c r="J37" s="18"/>
      <c r="K37" s="16"/>
      <c r="L37" s="17"/>
      <c r="M37" s="17"/>
      <c r="N37" s="17"/>
      <c r="O37" s="17"/>
      <c r="P37" s="18"/>
      <c r="Q37" s="16" t="s">
        <v>62</v>
      </c>
      <c r="R37" s="17"/>
      <c r="S37" s="17"/>
      <c r="T37" s="17"/>
      <c r="U37" s="17"/>
      <c r="V37" s="18"/>
      <c r="W37" s="16"/>
      <c r="X37" s="17"/>
      <c r="Y37" s="17"/>
      <c r="Z37" s="17"/>
      <c r="AA37" s="17"/>
      <c r="AB37" s="18"/>
      <c r="AC37" s="16"/>
      <c r="AD37" s="17"/>
      <c r="AE37" s="17"/>
      <c r="AF37" s="17"/>
      <c r="AG37" s="17"/>
      <c r="AH37" s="17"/>
      <c r="AI37" s="16"/>
      <c r="AJ37" s="17"/>
      <c r="AK37" s="17"/>
      <c r="AL37" s="17"/>
      <c r="AM37" s="17"/>
      <c r="AN37" s="18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8"/>
      <c r="BF37" s="1"/>
    </row>
    <row r="38" spans="1:58" ht="21" customHeight="1">
      <c r="A38" s="1"/>
      <c r="B38" s="19"/>
      <c r="C38" s="20"/>
      <c r="D38" s="21"/>
      <c r="E38" s="19"/>
      <c r="F38" s="20"/>
      <c r="G38" s="20"/>
      <c r="H38" s="20"/>
      <c r="I38" s="20"/>
      <c r="J38" s="21"/>
      <c r="K38" s="19"/>
      <c r="L38" s="20"/>
      <c r="M38" s="20"/>
      <c r="N38" s="20"/>
      <c r="O38" s="20"/>
      <c r="P38" s="21"/>
      <c r="Q38" s="19"/>
      <c r="R38" s="20"/>
      <c r="S38" s="20"/>
      <c r="T38" s="20"/>
      <c r="U38" s="20"/>
      <c r="V38" s="21"/>
      <c r="W38" s="19"/>
      <c r="X38" s="20"/>
      <c r="Y38" s="20"/>
      <c r="Z38" s="20"/>
      <c r="AA38" s="20"/>
      <c r="AB38" s="21"/>
      <c r="AC38" s="19"/>
      <c r="AD38" s="20"/>
      <c r="AE38" s="20"/>
      <c r="AF38" s="20"/>
      <c r="AG38" s="20"/>
      <c r="AH38" s="20"/>
      <c r="AI38" s="19"/>
      <c r="AJ38" s="20"/>
      <c r="AK38" s="20"/>
      <c r="AL38" s="20"/>
      <c r="AM38" s="20"/>
      <c r="AN38" s="21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1"/>
      <c r="BF38" s="1"/>
    </row>
    <row r="39" spans="1:58" ht="21" customHeight="1">
      <c r="A39" s="1"/>
      <c r="B39" s="13" t="s">
        <v>78</v>
      </c>
      <c r="C39" s="14"/>
      <c r="D39" s="15"/>
      <c r="E39" s="13" t="s">
        <v>79</v>
      </c>
      <c r="F39" s="14"/>
      <c r="G39" s="14"/>
      <c r="H39" s="14"/>
      <c r="I39" s="14"/>
      <c r="J39" s="15"/>
      <c r="K39" s="13"/>
      <c r="L39" s="14"/>
      <c r="M39" s="14"/>
      <c r="N39" s="14"/>
      <c r="O39" s="14"/>
      <c r="P39" s="15"/>
      <c r="Q39" s="13" t="s">
        <v>80</v>
      </c>
      <c r="R39" s="14"/>
      <c r="S39" s="14"/>
      <c r="T39" s="14"/>
      <c r="U39" s="14"/>
      <c r="V39" s="15"/>
      <c r="W39" s="13" t="s">
        <v>42</v>
      </c>
      <c r="X39" s="14"/>
      <c r="Y39" s="14"/>
      <c r="Z39" s="14"/>
      <c r="AA39" s="14"/>
      <c r="AB39" s="15"/>
      <c r="AC39" s="13" t="s">
        <v>12</v>
      </c>
      <c r="AD39" s="14"/>
      <c r="AE39" s="14"/>
      <c r="AF39" s="14"/>
      <c r="AG39" s="14"/>
      <c r="AH39" s="14"/>
      <c r="AI39" s="13" t="s">
        <v>81</v>
      </c>
      <c r="AJ39" s="14"/>
      <c r="AK39" s="14"/>
      <c r="AL39" s="14"/>
      <c r="AM39" s="14"/>
      <c r="AN39" s="15"/>
      <c r="AO39" s="14" t="s">
        <v>82</v>
      </c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5"/>
      <c r="BF39" s="1"/>
    </row>
    <row r="40" spans="1:58" ht="21" customHeight="1">
      <c r="A40" s="1"/>
      <c r="B40" s="16"/>
      <c r="C40" s="17"/>
      <c r="D40" s="18"/>
      <c r="E40" s="16"/>
      <c r="F40" s="17"/>
      <c r="G40" s="17"/>
      <c r="H40" s="17"/>
      <c r="I40" s="17"/>
      <c r="J40" s="18"/>
      <c r="K40" s="16"/>
      <c r="L40" s="17"/>
      <c r="M40" s="17"/>
      <c r="N40" s="17"/>
      <c r="O40" s="17"/>
      <c r="P40" s="18"/>
      <c r="Q40" s="16" t="s">
        <v>83</v>
      </c>
      <c r="R40" s="17"/>
      <c r="S40" s="17"/>
      <c r="T40" s="17"/>
      <c r="U40" s="17"/>
      <c r="V40" s="18"/>
      <c r="W40" s="16" t="s">
        <v>44</v>
      </c>
      <c r="X40" s="17"/>
      <c r="Y40" s="17"/>
      <c r="Z40" s="17"/>
      <c r="AA40" s="17"/>
      <c r="AB40" s="18"/>
      <c r="AC40" s="16"/>
      <c r="AD40" s="17"/>
      <c r="AE40" s="17"/>
      <c r="AF40" s="17"/>
      <c r="AG40" s="17"/>
      <c r="AH40" s="17"/>
      <c r="AI40" s="16"/>
      <c r="AJ40" s="17"/>
      <c r="AK40" s="17"/>
      <c r="AL40" s="17"/>
      <c r="AM40" s="17"/>
      <c r="AN40" s="18"/>
      <c r="AO40" s="17" t="s">
        <v>84</v>
      </c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8"/>
      <c r="BF40" s="1"/>
    </row>
    <row r="41" spans="1:58" ht="21" customHeight="1">
      <c r="A41" s="1"/>
      <c r="B41" s="16"/>
      <c r="C41" s="17"/>
      <c r="D41" s="18"/>
      <c r="E41" s="16"/>
      <c r="F41" s="17"/>
      <c r="G41" s="17"/>
      <c r="H41" s="17"/>
      <c r="I41" s="17"/>
      <c r="J41" s="18"/>
      <c r="K41" s="16"/>
      <c r="L41" s="17"/>
      <c r="M41" s="17"/>
      <c r="N41" s="17"/>
      <c r="O41" s="17"/>
      <c r="P41" s="18"/>
      <c r="Q41" s="16" t="s">
        <v>85</v>
      </c>
      <c r="R41" s="17"/>
      <c r="S41" s="17"/>
      <c r="T41" s="17"/>
      <c r="U41" s="17"/>
      <c r="V41" s="18"/>
      <c r="W41" s="16" t="s">
        <v>62</v>
      </c>
      <c r="X41" s="17"/>
      <c r="Y41" s="17"/>
      <c r="Z41" s="17"/>
      <c r="AA41" s="17"/>
      <c r="AB41" s="18"/>
      <c r="AC41" s="16"/>
      <c r="AD41" s="17"/>
      <c r="AE41" s="17"/>
      <c r="AF41" s="17"/>
      <c r="AG41" s="17"/>
      <c r="AH41" s="17"/>
      <c r="AI41" s="16"/>
      <c r="AJ41" s="17"/>
      <c r="AK41" s="17"/>
      <c r="AL41" s="17"/>
      <c r="AM41" s="17"/>
      <c r="AN41" s="18"/>
      <c r="AO41" s="17" t="s">
        <v>86</v>
      </c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8"/>
      <c r="BF41" s="1"/>
    </row>
    <row r="42" spans="1:58" ht="21" customHeight="1">
      <c r="A42" s="1"/>
      <c r="B42" s="16"/>
      <c r="C42" s="17"/>
      <c r="D42" s="18"/>
      <c r="E42" s="16"/>
      <c r="F42" s="17"/>
      <c r="G42" s="17"/>
      <c r="H42" s="17"/>
      <c r="I42" s="17"/>
      <c r="J42" s="18"/>
      <c r="K42" s="16"/>
      <c r="L42" s="17"/>
      <c r="M42" s="17"/>
      <c r="N42" s="17"/>
      <c r="O42" s="17"/>
      <c r="P42" s="18"/>
      <c r="Q42" s="16" t="s">
        <v>87</v>
      </c>
      <c r="R42" s="17"/>
      <c r="S42" s="17"/>
      <c r="T42" s="17"/>
      <c r="U42" s="17"/>
      <c r="V42" s="18"/>
      <c r="W42" s="16"/>
      <c r="X42" s="17"/>
      <c r="Y42" s="17"/>
      <c r="Z42" s="17"/>
      <c r="AA42" s="17"/>
      <c r="AB42" s="18"/>
      <c r="AC42" s="16"/>
      <c r="AD42" s="17"/>
      <c r="AE42" s="17"/>
      <c r="AF42" s="17"/>
      <c r="AG42" s="17"/>
      <c r="AH42" s="17"/>
      <c r="AI42" s="16"/>
      <c r="AJ42" s="17"/>
      <c r="AK42" s="17"/>
      <c r="AL42" s="17"/>
      <c r="AM42" s="17"/>
      <c r="AN42" s="18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8"/>
      <c r="BF42" s="1"/>
    </row>
    <row r="43" spans="1:58" ht="21" customHeight="1">
      <c r="A43" s="1"/>
      <c r="B43" s="16"/>
      <c r="C43" s="17"/>
      <c r="D43" s="18"/>
      <c r="E43" s="16"/>
      <c r="F43" s="17"/>
      <c r="G43" s="17"/>
      <c r="H43" s="17"/>
      <c r="I43" s="17"/>
      <c r="J43" s="18"/>
      <c r="K43" s="16"/>
      <c r="L43" s="17"/>
      <c r="M43" s="17"/>
      <c r="N43" s="17"/>
      <c r="O43" s="17"/>
      <c r="P43" s="18"/>
      <c r="Q43" s="16" t="s">
        <v>88</v>
      </c>
      <c r="R43" s="17"/>
      <c r="S43" s="17"/>
      <c r="T43" s="17"/>
      <c r="U43" s="17"/>
      <c r="V43" s="18"/>
      <c r="W43" s="16"/>
      <c r="X43" s="17"/>
      <c r="Y43" s="17"/>
      <c r="Z43" s="17"/>
      <c r="AA43" s="17"/>
      <c r="AB43" s="18"/>
      <c r="AC43" s="16"/>
      <c r="AD43" s="17"/>
      <c r="AE43" s="17"/>
      <c r="AF43" s="17"/>
      <c r="AG43" s="17"/>
      <c r="AH43" s="17"/>
      <c r="AI43" s="16"/>
      <c r="AJ43" s="17"/>
      <c r="AK43" s="17"/>
      <c r="AL43" s="17"/>
      <c r="AM43" s="17"/>
      <c r="AN43" s="18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8"/>
      <c r="BF43" s="1"/>
    </row>
    <row r="44" spans="1:58" ht="21" customHeight="1">
      <c r="A44" s="1"/>
      <c r="B44" s="16"/>
      <c r="C44" s="17"/>
      <c r="D44" s="18"/>
      <c r="E44" s="16"/>
      <c r="F44" s="17"/>
      <c r="G44" s="17"/>
      <c r="H44" s="17"/>
      <c r="I44" s="17"/>
      <c r="J44" s="18"/>
      <c r="K44" s="16"/>
      <c r="L44" s="17"/>
      <c r="M44" s="17"/>
      <c r="N44" s="17"/>
      <c r="O44" s="17"/>
      <c r="P44" s="18"/>
      <c r="Q44" s="16" t="s">
        <v>46</v>
      </c>
      <c r="R44" s="17"/>
      <c r="S44" s="17"/>
      <c r="T44" s="17"/>
      <c r="U44" s="17"/>
      <c r="V44" s="18"/>
      <c r="W44" s="16"/>
      <c r="X44" s="17"/>
      <c r="Y44" s="17"/>
      <c r="Z44" s="17"/>
      <c r="AA44" s="17"/>
      <c r="AB44" s="18"/>
      <c r="AC44" s="16"/>
      <c r="AD44" s="17"/>
      <c r="AE44" s="17"/>
      <c r="AF44" s="17"/>
      <c r="AG44" s="17"/>
      <c r="AH44" s="17"/>
      <c r="AI44" s="16"/>
      <c r="AJ44" s="17"/>
      <c r="AK44" s="17"/>
      <c r="AL44" s="17"/>
      <c r="AM44" s="17"/>
      <c r="AN44" s="18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8"/>
      <c r="BF44" s="1"/>
    </row>
    <row r="45" spans="1:58" ht="21" customHeight="1">
      <c r="A45" s="1"/>
      <c r="B45" s="16"/>
      <c r="C45" s="17"/>
      <c r="D45" s="18"/>
      <c r="E45" s="16"/>
      <c r="F45" s="17"/>
      <c r="G45" s="17"/>
      <c r="H45" s="17"/>
      <c r="I45" s="17"/>
      <c r="J45" s="18"/>
      <c r="K45" s="16"/>
      <c r="L45" s="17"/>
      <c r="M45" s="17"/>
      <c r="N45" s="17"/>
      <c r="O45" s="17"/>
      <c r="P45" s="18"/>
      <c r="Q45" s="16" t="s">
        <v>48</v>
      </c>
      <c r="R45" s="17"/>
      <c r="S45" s="17"/>
      <c r="T45" s="17"/>
      <c r="U45" s="17"/>
      <c r="V45" s="18"/>
      <c r="W45" s="16"/>
      <c r="X45" s="17"/>
      <c r="Y45" s="17"/>
      <c r="Z45" s="17"/>
      <c r="AA45" s="17"/>
      <c r="AB45" s="18"/>
      <c r="AC45" s="16"/>
      <c r="AD45" s="17"/>
      <c r="AE45" s="17"/>
      <c r="AF45" s="17"/>
      <c r="AG45" s="17"/>
      <c r="AH45" s="17"/>
      <c r="AI45" s="16"/>
      <c r="AJ45" s="17"/>
      <c r="AK45" s="17"/>
      <c r="AL45" s="17"/>
      <c r="AM45" s="17"/>
      <c r="AN45" s="18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8"/>
      <c r="BF45" s="1"/>
    </row>
    <row r="46" spans="1:58" ht="21" customHeight="1">
      <c r="A46" s="1"/>
      <c r="B46" s="16"/>
      <c r="C46" s="17"/>
      <c r="D46" s="18"/>
      <c r="E46" s="16"/>
      <c r="F46" s="17"/>
      <c r="G46" s="17"/>
      <c r="H46" s="17"/>
      <c r="I46" s="17"/>
      <c r="J46" s="18"/>
      <c r="K46" s="16"/>
      <c r="L46" s="17"/>
      <c r="M46" s="17"/>
      <c r="N46" s="17"/>
      <c r="O46" s="17"/>
      <c r="P46" s="18"/>
      <c r="Q46" s="16" t="s">
        <v>50</v>
      </c>
      <c r="R46" s="17"/>
      <c r="S46" s="17"/>
      <c r="T46" s="17"/>
      <c r="U46" s="17"/>
      <c r="V46" s="18"/>
      <c r="W46" s="16"/>
      <c r="X46" s="17"/>
      <c r="Y46" s="17"/>
      <c r="Z46" s="17"/>
      <c r="AA46" s="17"/>
      <c r="AB46" s="18"/>
      <c r="AC46" s="16"/>
      <c r="AD46" s="17"/>
      <c r="AE46" s="17"/>
      <c r="AF46" s="17"/>
      <c r="AG46" s="17"/>
      <c r="AH46" s="17"/>
      <c r="AI46" s="16"/>
      <c r="AJ46" s="17"/>
      <c r="AK46" s="17"/>
      <c r="AL46" s="17"/>
      <c r="AM46" s="17"/>
      <c r="AN46" s="18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8"/>
      <c r="BF46" s="1"/>
    </row>
    <row r="47" spans="1:58" ht="21" customHeight="1">
      <c r="A47" s="1"/>
      <c r="B47" s="16"/>
      <c r="C47" s="17"/>
      <c r="D47" s="18"/>
      <c r="E47" s="16"/>
      <c r="F47" s="17"/>
      <c r="G47" s="17"/>
      <c r="H47" s="17"/>
      <c r="I47" s="17"/>
      <c r="J47" s="18"/>
      <c r="K47" s="17"/>
      <c r="L47" s="8"/>
      <c r="M47" s="17"/>
      <c r="N47" s="17"/>
      <c r="O47" s="17"/>
      <c r="P47" s="18"/>
      <c r="Q47" s="16" t="s">
        <v>52</v>
      </c>
      <c r="R47" s="17"/>
      <c r="S47" s="17"/>
      <c r="T47" s="17"/>
      <c r="U47" s="17"/>
      <c r="V47" s="18"/>
      <c r="W47" s="16"/>
      <c r="X47" s="17"/>
      <c r="Y47" s="17"/>
      <c r="Z47" s="17"/>
      <c r="AA47" s="17"/>
      <c r="AB47" s="18"/>
      <c r="AC47" s="16"/>
      <c r="AD47" s="17"/>
      <c r="AE47" s="17"/>
      <c r="AF47" s="17"/>
      <c r="AG47" s="17"/>
      <c r="AH47" s="17"/>
      <c r="AI47" s="16"/>
      <c r="AJ47" s="17"/>
      <c r="AK47" s="17"/>
      <c r="AL47" s="17"/>
      <c r="AM47" s="17"/>
      <c r="AN47" s="18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8"/>
      <c r="BF47" s="1"/>
    </row>
    <row r="48" spans="1:58" ht="21" customHeight="1">
      <c r="A48" s="1"/>
      <c r="B48" s="16"/>
      <c r="C48" s="17"/>
      <c r="D48" s="18"/>
      <c r="E48" s="16"/>
      <c r="F48" s="17"/>
      <c r="G48" s="17"/>
      <c r="H48" s="17"/>
      <c r="I48" s="17"/>
      <c r="J48" s="18"/>
      <c r="K48" s="16"/>
      <c r="L48" s="17"/>
      <c r="M48" s="17"/>
      <c r="N48" s="17"/>
      <c r="O48" s="17"/>
      <c r="P48" s="18"/>
      <c r="Q48" s="16" t="s">
        <v>89</v>
      </c>
      <c r="R48" s="17"/>
      <c r="S48" s="17"/>
      <c r="T48" s="17"/>
      <c r="U48" s="17"/>
      <c r="V48" s="18"/>
      <c r="W48" s="16"/>
      <c r="X48" s="17"/>
      <c r="Y48" s="17"/>
      <c r="Z48" s="17"/>
      <c r="AA48" s="17"/>
      <c r="AB48" s="18"/>
      <c r="AC48" s="16"/>
      <c r="AD48" s="17"/>
      <c r="AE48" s="17"/>
      <c r="AF48" s="17"/>
      <c r="AG48" s="17"/>
      <c r="AH48" s="17"/>
      <c r="AI48" s="16"/>
      <c r="AJ48" s="17"/>
      <c r="AK48" s="17"/>
      <c r="AL48" s="17"/>
      <c r="AM48" s="17"/>
      <c r="AN48" s="18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8"/>
      <c r="BF48" s="1"/>
    </row>
    <row r="49" spans="1:58" ht="21" customHeight="1">
      <c r="A49" s="1"/>
      <c r="B49" s="16"/>
      <c r="C49" s="17"/>
      <c r="D49" s="18"/>
      <c r="E49" s="16"/>
      <c r="F49" s="17"/>
      <c r="G49" s="17"/>
      <c r="H49" s="17"/>
      <c r="I49" s="17"/>
      <c r="J49" s="18"/>
      <c r="K49" s="16"/>
      <c r="L49" s="17"/>
      <c r="M49" s="17"/>
      <c r="N49" s="17"/>
      <c r="O49" s="17"/>
      <c r="P49" s="18"/>
      <c r="Q49" s="16" t="s">
        <v>90</v>
      </c>
      <c r="R49" s="17"/>
      <c r="S49" s="17"/>
      <c r="T49" s="17"/>
      <c r="U49" s="17"/>
      <c r="V49" s="18"/>
      <c r="W49" s="16"/>
      <c r="X49" s="17"/>
      <c r="Y49" s="17"/>
      <c r="Z49" s="17"/>
      <c r="AA49" s="17"/>
      <c r="AB49" s="18"/>
      <c r="AC49" s="16"/>
      <c r="AD49" s="17"/>
      <c r="AE49" s="17"/>
      <c r="AF49" s="17"/>
      <c r="AG49" s="17"/>
      <c r="AH49" s="17"/>
      <c r="AI49" s="16"/>
      <c r="AJ49" s="17"/>
      <c r="AK49" s="17"/>
      <c r="AL49" s="17"/>
      <c r="AM49" s="17"/>
      <c r="AN49" s="18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8"/>
      <c r="BF49" s="1"/>
    </row>
    <row r="50" spans="1:58" ht="21" customHeight="1">
      <c r="A50" s="1"/>
      <c r="B50" s="16"/>
      <c r="C50" s="17"/>
      <c r="D50" s="18"/>
      <c r="E50" s="16"/>
      <c r="F50" s="17"/>
      <c r="G50" s="17"/>
      <c r="H50" s="17"/>
      <c r="I50" s="17"/>
      <c r="J50" s="18"/>
      <c r="K50" s="16"/>
      <c r="L50" s="17"/>
      <c r="M50" s="17"/>
      <c r="N50" s="17"/>
      <c r="O50" s="17"/>
      <c r="P50" s="18"/>
      <c r="Q50" s="16" t="s">
        <v>59</v>
      </c>
      <c r="R50" s="17"/>
      <c r="S50" s="17"/>
      <c r="T50" s="17"/>
      <c r="U50" s="17"/>
      <c r="V50" s="18"/>
      <c r="W50" s="16"/>
      <c r="X50" s="17"/>
      <c r="Y50" s="17"/>
      <c r="Z50" s="17"/>
      <c r="AA50" s="17"/>
      <c r="AB50" s="18"/>
      <c r="AC50" s="16"/>
      <c r="AD50" s="17"/>
      <c r="AE50" s="17"/>
      <c r="AF50" s="17"/>
      <c r="AG50" s="17"/>
      <c r="AH50" s="17"/>
      <c r="AI50" s="16"/>
      <c r="AJ50" s="17"/>
      <c r="AK50" s="17"/>
      <c r="AL50" s="17"/>
      <c r="AM50" s="17"/>
      <c r="AN50" s="18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8"/>
      <c r="BF50" s="1"/>
    </row>
    <row r="51" spans="1:58" ht="21" customHeight="1">
      <c r="A51" s="1"/>
      <c r="B51" s="16"/>
      <c r="C51" s="17"/>
      <c r="D51" s="18"/>
      <c r="E51" s="16"/>
      <c r="F51" s="17"/>
      <c r="G51" s="17"/>
      <c r="H51" s="17"/>
      <c r="I51" s="17"/>
      <c r="J51" s="18"/>
      <c r="K51" s="16"/>
      <c r="L51" s="17"/>
      <c r="M51" s="17"/>
      <c r="N51" s="17"/>
      <c r="O51" s="17"/>
      <c r="P51" s="18"/>
      <c r="Q51" s="16" t="s">
        <v>61</v>
      </c>
      <c r="R51" s="17"/>
      <c r="S51" s="17"/>
      <c r="T51" s="17"/>
      <c r="U51" s="17"/>
      <c r="V51" s="18"/>
      <c r="W51" s="16"/>
      <c r="X51" s="17"/>
      <c r="Y51" s="17"/>
      <c r="Z51" s="17"/>
      <c r="AA51" s="17"/>
      <c r="AB51" s="18"/>
      <c r="AC51" s="16"/>
      <c r="AD51" s="17"/>
      <c r="AE51" s="17"/>
      <c r="AF51" s="17"/>
      <c r="AG51" s="17"/>
      <c r="AH51" s="17"/>
      <c r="AI51" s="16"/>
      <c r="AJ51" s="17"/>
      <c r="AK51" s="17"/>
      <c r="AL51" s="17"/>
      <c r="AM51" s="17"/>
      <c r="AN51" s="18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8"/>
      <c r="BF51" s="1"/>
    </row>
    <row r="52" spans="1:58" ht="21" customHeight="1">
      <c r="A52" s="1"/>
      <c r="B52" s="16"/>
      <c r="C52" s="17"/>
      <c r="D52" s="18"/>
      <c r="E52" s="16"/>
      <c r="F52" s="17"/>
      <c r="G52" s="17"/>
      <c r="H52" s="17"/>
      <c r="I52" s="17"/>
      <c r="J52" s="18"/>
      <c r="K52" s="16"/>
      <c r="L52" s="17"/>
      <c r="M52" s="17"/>
      <c r="N52" s="17"/>
      <c r="O52" s="17"/>
      <c r="P52" s="18"/>
      <c r="Q52" s="16" t="s">
        <v>91</v>
      </c>
      <c r="R52" s="17"/>
      <c r="S52" s="17"/>
      <c r="T52" s="17"/>
      <c r="U52" s="17"/>
      <c r="V52" s="18"/>
      <c r="W52" s="16"/>
      <c r="X52" s="17"/>
      <c r="Y52" s="17"/>
      <c r="Z52" s="17"/>
      <c r="AA52" s="17"/>
      <c r="AB52" s="18"/>
      <c r="AC52" s="16"/>
      <c r="AD52" s="17"/>
      <c r="AE52" s="17"/>
      <c r="AF52" s="17"/>
      <c r="AG52" s="17"/>
      <c r="AH52" s="17"/>
      <c r="AI52" s="16"/>
      <c r="AJ52" s="17"/>
      <c r="AK52" s="17"/>
      <c r="AL52" s="17"/>
      <c r="AM52" s="17"/>
      <c r="AN52" s="18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8"/>
      <c r="BF52" s="1"/>
    </row>
    <row r="53" spans="1:58" ht="21" customHeight="1">
      <c r="A53" s="1"/>
      <c r="B53" s="16"/>
      <c r="C53" s="17"/>
      <c r="D53" s="18"/>
      <c r="E53" s="16"/>
      <c r="F53" s="17"/>
      <c r="G53" s="17"/>
      <c r="H53" s="17"/>
      <c r="I53" s="17"/>
      <c r="J53" s="18"/>
      <c r="K53" s="16"/>
      <c r="L53" s="17"/>
      <c r="M53" s="17"/>
      <c r="N53" s="17"/>
      <c r="O53" s="17"/>
      <c r="P53" s="18"/>
      <c r="Q53" s="16" t="s">
        <v>64</v>
      </c>
      <c r="R53" s="17"/>
      <c r="S53" s="17"/>
      <c r="T53" s="17"/>
      <c r="U53" s="17"/>
      <c r="V53" s="18"/>
      <c r="W53" s="16"/>
      <c r="X53" s="17"/>
      <c r="Y53" s="17"/>
      <c r="Z53" s="17"/>
      <c r="AA53" s="17"/>
      <c r="AB53" s="18"/>
      <c r="AC53" s="16"/>
      <c r="AD53" s="17"/>
      <c r="AE53" s="17"/>
      <c r="AF53" s="17"/>
      <c r="AG53" s="17"/>
      <c r="AH53" s="17"/>
      <c r="AI53" s="16"/>
      <c r="AJ53" s="17"/>
      <c r="AK53" s="17"/>
      <c r="AL53" s="17"/>
      <c r="AM53" s="17"/>
      <c r="AN53" s="18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8"/>
      <c r="BF53" s="1"/>
    </row>
    <row r="54" spans="1:58" ht="21" customHeight="1">
      <c r="A54" s="1"/>
      <c r="B54" s="16"/>
      <c r="C54" s="17"/>
      <c r="D54" s="18"/>
      <c r="E54" s="16"/>
      <c r="F54" s="17"/>
      <c r="G54" s="17"/>
      <c r="H54" s="17"/>
      <c r="I54" s="17"/>
      <c r="J54" s="18"/>
      <c r="K54" s="16"/>
      <c r="L54" s="17"/>
      <c r="M54" s="17"/>
      <c r="N54" s="17"/>
      <c r="O54" s="17"/>
      <c r="P54" s="18"/>
      <c r="Q54" s="16" t="s">
        <v>65</v>
      </c>
      <c r="R54" s="17"/>
      <c r="S54" s="17"/>
      <c r="T54" s="17"/>
      <c r="U54" s="17"/>
      <c r="V54" s="18"/>
      <c r="W54" s="16"/>
      <c r="X54" s="17"/>
      <c r="Y54" s="17"/>
      <c r="Z54" s="17"/>
      <c r="AA54" s="17"/>
      <c r="AB54" s="18"/>
      <c r="AC54" s="16"/>
      <c r="AD54" s="17"/>
      <c r="AE54" s="17"/>
      <c r="AF54" s="17"/>
      <c r="AG54" s="17"/>
      <c r="AH54" s="17"/>
      <c r="AI54" s="16"/>
      <c r="AJ54" s="17"/>
      <c r="AK54" s="17"/>
      <c r="AL54" s="17"/>
      <c r="AM54" s="17"/>
      <c r="AN54" s="18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8"/>
      <c r="BF54" s="1"/>
    </row>
    <row r="55" spans="1:58" ht="21" customHeight="1">
      <c r="A55" s="1"/>
      <c r="B55" s="16"/>
      <c r="C55" s="17"/>
      <c r="D55" s="18"/>
      <c r="E55" s="16"/>
      <c r="F55" s="17"/>
      <c r="G55" s="17"/>
      <c r="H55" s="17"/>
      <c r="I55" s="17"/>
      <c r="J55" s="18"/>
      <c r="K55" s="16"/>
      <c r="L55" s="17"/>
      <c r="M55" s="17"/>
      <c r="N55" s="17"/>
      <c r="O55" s="17"/>
      <c r="P55" s="18"/>
      <c r="Q55" s="16" t="s">
        <v>66</v>
      </c>
      <c r="R55" s="17"/>
      <c r="S55" s="17"/>
      <c r="T55" s="17"/>
      <c r="U55" s="17"/>
      <c r="V55" s="18"/>
      <c r="W55" s="16"/>
      <c r="X55" s="17"/>
      <c r="Y55" s="17"/>
      <c r="Z55" s="17"/>
      <c r="AA55" s="17"/>
      <c r="AB55" s="18"/>
      <c r="AC55" s="16"/>
      <c r="AD55" s="17"/>
      <c r="AE55" s="17"/>
      <c r="AF55" s="17"/>
      <c r="AG55" s="17"/>
      <c r="AH55" s="17"/>
      <c r="AI55" s="16"/>
      <c r="AJ55" s="17"/>
      <c r="AK55" s="17"/>
      <c r="AL55" s="17"/>
      <c r="AM55" s="17"/>
      <c r="AN55" s="18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8"/>
      <c r="BF55" s="1"/>
    </row>
    <row r="56" spans="1:58" ht="21" customHeight="1">
      <c r="A56" s="1"/>
      <c r="B56" s="16"/>
      <c r="C56" s="17"/>
      <c r="D56" s="18"/>
      <c r="E56" s="16"/>
      <c r="F56" s="17"/>
      <c r="G56" s="17"/>
      <c r="H56" s="17"/>
      <c r="I56" s="17"/>
      <c r="J56" s="18"/>
      <c r="K56" s="16"/>
      <c r="L56" s="17"/>
      <c r="M56" s="17"/>
      <c r="N56" s="17"/>
      <c r="O56" s="17"/>
      <c r="P56" s="18"/>
      <c r="Q56" s="16" t="s">
        <v>26</v>
      </c>
      <c r="R56" s="17"/>
      <c r="S56" s="17"/>
      <c r="T56" s="17"/>
      <c r="U56" s="17"/>
      <c r="V56" s="18"/>
      <c r="W56" s="16"/>
      <c r="X56" s="17"/>
      <c r="Y56" s="17"/>
      <c r="Z56" s="17"/>
      <c r="AA56" s="17"/>
      <c r="AB56" s="18"/>
      <c r="AC56" s="16"/>
      <c r="AD56" s="17"/>
      <c r="AE56" s="17"/>
      <c r="AF56" s="17"/>
      <c r="AG56" s="17"/>
      <c r="AH56" s="17"/>
      <c r="AI56" s="16"/>
      <c r="AJ56" s="17"/>
      <c r="AK56" s="17"/>
      <c r="AL56" s="17"/>
      <c r="AM56" s="17"/>
      <c r="AN56" s="18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8"/>
      <c r="BF56" s="1"/>
    </row>
    <row r="57" spans="1:58" ht="21" customHeight="1">
      <c r="A57" s="1"/>
      <c r="B57" s="16"/>
      <c r="C57" s="17"/>
      <c r="D57" s="18"/>
      <c r="E57" s="16"/>
      <c r="F57" s="17"/>
      <c r="G57" s="17"/>
      <c r="H57" s="17"/>
      <c r="I57" s="17"/>
      <c r="J57" s="18"/>
      <c r="K57" s="16"/>
      <c r="L57" s="17"/>
      <c r="M57" s="17"/>
      <c r="N57" s="17"/>
      <c r="O57" s="17"/>
      <c r="P57" s="18"/>
      <c r="Q57" s="16" t="s">
        <v>67</v>
      </c>
      <c r="R57" s="17"/>
      <c r="S57" s="17"/>
      <c r="T57" s="17"/>
      <c r="U57" s="17"/>
      <c r="V57" s="18"/>
      <c r="W57" s="16"/>
      <c r="X57" s="17"/>
      <c r="Y57" s="17"/>
      <c r="Z57" s="17"/>
      <c r="AA57" s="17"/>
      <c r="AB57" s="18"/>
      <c r="AC57" s="16"/>
      <c r="AD57" s="17"/>
      <c r="AE57" s="17"/>
      <c r="AF57" s="17"/>
      <c r="AG57" s="17"/>
      <c r="AH57" s="17"/>
      <c r="AI57" s="16"/>
      <c r="AJ57" s="17"/>
      <c r="AK57" s="17"/>
      <c r="AL57" s="17"/>
      <c r="AM57" s="17"/>
      <c r="AN57" s="18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8"/>
      <c r="BF57" s="1"/>
    </row>
    <row r="58" spans="1:58" ht="21" customHeight="1">
      <c r="A58" s="1"/>
      <c r="B58" s="16"/>
      <c r="C58" s="17"/>
      <c r="D58" s="18"/>
      <c r="E58" s="16"/>
      <c r="F58" s="17"/>
      <c r="G58" s="17"/>
      <c r="H58" s="17"/>
      <c r="I58" s="17"/>
      <c r="J58" s="18"/>
      <c r="K58" s="16"/>
      <c r="L58" s="17"/>
      <c r="M58" s="17"/>
      <c r="N58" s="17"/>
      <c r="O58" s="17"/>
      <c r="P58" s="18"/>
      <c r="Q58" s="16" t="s">
        <v>68</v>
      </c>
      <c r="R58" s="17"/>
      <c r="S58" s="17"/>
      <c r="T58" s="17"/>
      <c r="U58" s="17"/>
      <c r="V58" s="18"/>
      <c r="W58" s="16"/>
      <c r="X58" s="17"/>
      <c r="Y58" s="17"/>
      <c r="Z58" s="17"/>
      <c r="AA58" s="17"/>
      <c r="AB58" s="18"/>
      <c r="AC58" s="16"/>
      <c r="AD58" s="17"/>
      <c r="AE58" s="17"/>
      <c r="AF58" s="17"/>
      <c r="AG58" s="17"/>
      <c r="AH58" s="17"/>
      <c r="AI58" s="16"/>
      <c r="AJ58" s="17"/>
      <c r="AK58" s="17"/>
      <c r="AL58" s="17"/>
      <c r="AM58" s="17"/>
      <c r="AN58" s="18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8"/>
      <c r="BF58" s="1"/>
    </row>
    <row r="59" spans="1:58" ht="21" customHeight="1">
      <c r="A59" s="1"/>
      <c r="B59" s="16"/>
      <c r="C59" s="17"/>
      <c r="D59" s="18"/>
      <c r="E59" s="16"/>
      <c r="F59" s="17"/>
      <c r="G59" s="17"/>
      <c r="H59" s="17"/>
      <c r="I59" s="17"/>
      <c r="J59" s="18"/>
      <c r="K59" s="16"/>
      <c r="L59" s="17"/>
      <c r="M59" s="17"/>
      <c r="N59" s="17"/>
      <c r="O59" s="17"/>
      <c r="P59" s="18"/>
      <c r="Q59" s="16" t="s">
        <v>69</v>
      </c>
      <c r="R59" s="17"/>
      <c r="S59" s="17"/>
      <c r="T59" s="17"/>
      <c r="U59" s="17"/>
      <c r="V59" s="18"/>
      <c r="W59" s="16"/>
      <c r="X59" s="17"/>
      <c r="Y59" s="17"/>
      <c r="Z59" s="17"/>
      <c r="AA59" s="17"/>
      <c r="AB59" s="18"/>
      <c r="AC59" s="16"/>
      <c r="AD59" s="17"/>
      <c r="AE59" s="17"/>
      <c r="AF59" s="17"/>
      <c r="AG59" s="17"/>
      <c r="AH59" s="17"/>
      <c r="AI59" s="16"/>
      <c r="AJ59" s="17"/>
      <c r="AK59" s="17"/>
      <c r="AL59" s="17"/>
      <c r="AM59" s="17"/>
      <c r="AN59" s="18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8"/>
      <c r="BF59" s="1"/>
    </row>
    <row r="60" spans="1:58" ht="21" customHeight="1">
      <c r="A60" s="1"/>
      <c r="B60" s="16"/>
      <c r="C60" s="17"/>
      <c r="D60" s="18"/>
      <c r="E60" s="16"/>
      <c r="F60" s="17"/>
      <c r="G60" s="17"/>
      <c r="H60" s="17"/>
      <c r="I60" s="17"/>
      <c r="J60" s="18"/>
      <c r="K60" s="16"/>
      <c r="L60" s="17"/>
      <c r="M60" s="17"/>
      <c r="N60" s="17"/>
      <c r="O60" s="17"/>
      <c r="P60" s="18"/>
      <c r="Q60" s="16" t="s">
        <v>70</v>
      </c>
      <c r="R60" s="17"/>
      <c r="S60" s="17"/>
      <c r="T60" s="17"/>
      <c r="U60" s="17"/>
      <c r="V60" s="18"/>
      <c r="W60" s="16"/>
      <c r="X60" s="17"/>
      <c r="Y60" s="17"/>
      <c r="Z60" s="17"/>
      <c r="AA60" s="17"/>
      <c r="AB60" s="18"/>
      <c r="AC60" s="16"/>
      <c r="AD60" s="17"/>
      <c r="AE60" s="17"/>
      <c r="AF60" s="17"/>
      <c r="AG60" s="17"/>
      <c r="AH60" s="17"/>
      <c r="AI60" s="16"/>
      <c r="AJ60" s="17"/>
      <c r="AK60" s="17"/>
      <c r="AL60" s="17"/>
      <c r="AM60" s="17"/>
      <c r="AN60" s="18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8"/>
      <c r="BF60" s="1"/>
    </row>
    <row r="61" spans="1:58" ht="21" customHeight="1">
      <c r="A61" s="1"/>
      <c r="B61" s="16"/>
      <c r="C61" s="17"/>
      <c r="D61" s="18"/>
      <c r="E61" s="16"/>
      <c r="F61" s="17"/>
      <c r="G61" s="17"/>
      <c r="H61" s="17"/>
      <c r="I61" s="17"/>
      <c r="J61" s="18"/>
      <c r="K61" s="16"/>
      <c r="L61" s="17"/>
      <c r="M61" s="17"/>
      <c r="N61" s="17"/>
      <c r="O61" s="17"/>
      <c r="P61" s="18"/>
      <c r="Q61" s="16" t="s">
        <v>39</v>
      </c>
      <c r="R61" s="17"/>
      <c r="S61" s="17"/>
      <c r="T61" s="17"/>
      <c r="U61" s="17"/>
      <c r="V61" s="18"/>
      <c r="W61" s="16"/>
      <c r="X61" s="17"/>
      <c r="Y61" s="17"/>
      <c r="Z61" s="17"/>
      <c r="AA61" s="17"/>
      <c r="AB61" s="18"/>
      <c r="AC61" s="16"/>
      <c r="AD61" s="17"/>
      <c r="AE61" s="17"/>
      <c r="AF61" s="17"/>
      <c r="AG61" s="17"/>
      <c r="AH61" s="17"/>
      <c r="AI61" s="16"/>
      <c r="AJ61" s="17"/>
      <c r="AK61" s="17"/>
      <c r="AL61" s="17"/>
      <c r="AM61" s="17"/>
      <c r="AN61" s="18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8"/>
      <c r="BF61" s="1"/>
    </row>
    <row r="62" spans="1:58" ht="21" customHeight="1">
      <c r="A62" s="1"/>
      <c r="B62" s="16"/>
      <c r="C62" s="17"/>
      <c r="D62" s="18"/>
      <c r="E62" s="16"/>
      <c r="F62" s="17"/>
      <c r="G62" s="17"/>
      <c r="H62" s="17"/>
      <c r="I62" s="17"/>
      <c r="J62" s="18"/>
      <c r="K62" s="16"/>
      <c r="L62" s="17"/>
      <c r="M62" s="17"/>
      <c r="N62" s="17"/>
      <c r="O62" s="17"/>
      <c r="P62" s="18"/>
      <c r="Q62" s="16" t="s">
        <v>41</v>
      </c>
      <c r="R62" s="17"/>
      <c r="S62" s="17"/>
      <c r="T62" s="17"/>
      <c r="U62" s="17"/>
      <c r="V62" s="18"/>
      <c r="W62" s="16"/>
      <c r="X62" s="17"/>
      <c r="Y62" s="17"/>
      <c r="Z62" s="17"/>
      <c r="AA62" s="17"/>
      <c r="AB62" s="18"/>
      <c r="AC62" s="16"/>
      <c r="AD62" s="17"/>
      <c r="AE62" s="17"/>
      <c r="AF62" s="17"/>
      <c r="AG62" s="17"/>
      <c r="AH62" s="17"/>
      <c r="AI62" s="16"/>
      <c r="AJ62" s="17"/>
      <c r="AK62" s="17"/>
      <c r="AL62" s="17"/>
      <c r="AM62" s="17"/>
      <c r="AN62" s="18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8"/>
      <c r="BF62" s="1"/>
    </row>
    <row r="63" spans="1:58" ht="21" customHeight="1">
      <c r="A63" s="1"/>
      <c r="B63" s="16"/>
      <c r="C63" s="17"/>
      <c r="D63" s="18"/>
      <c r="E63" s="16"/>
      <c r="F63" s="17"/>
      <c r="G63" s="17"/>
      <c r="H63" s="17"/>
      <c r="I63" s="17"/>
      <c r="J63" s="18"/>
      <c r="K63" s="16"/>
      <c r="L63" s="17"/>
      <c r="M63" s="17"/>
      <c r="N63" s="17"/>
      <c r="O63" s="17"/>
      <c r="P63" s="18"/>
      <c r="Q63" s="16" t="s">
        <v>43</v>
      </c>
      <c r="R63" s="17"/>
      <c r="S63" s="17"/>
      <c r="T63" s="17"/>
      <c r="U63" s="17"/>
      <c r="V63" s="18"/>
      <c r="W63" s="16"/>
      <c r="X63" s="17"/>
      <c r="Y63" s="17"/>
      <c r="Z63" s="17"/>
      <c r="AA63" s="17"/>
      <c r="AB63" s="18"/>
      <c r="AC63" s="16"/>
      <c r="AD63" s="17"/>
      <c r="AE63" s="17"/>
      <c r="AF63" s="17"/>
      <c r="AG63" s="17"/>
      <c r="AH63" s="17"/>
      <c r="AI63" s="16"/>
      <c r="AJ63" s="17"/>
      <c r="AK63" s="17"/>
      <c r="AL63" s="17"/>
      <c r="AM63" s="17"/>
      <c r="AN63" s="18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8"/>
      <c r="BF63" s="1"/>
    </row>
    <row r="64" spans="1:58" ht="21" customHeight="1">
      <c r="A64" s="1"/>
      <c r="B64" s="16"/>
      <c r="C64" s="17"/>
      <c r="D64" s="18"/>
      <c r="E64" s="16"/>
      <c r="F64" s="17"/>
      <c r="G64" s="17"/>
      <c r="H64" s="17"/>
      <c r="I64" s="17"/>
      <c r="J64" s="18"/>
      <c r="K64" s="16"/>
      <c r="L64" s="17"/>
      <c r="M64" s="17"/>
      <c r="N64" s="17"/>
      <c r="O64" s="17"/>
      <c r="P64" s="18"/>
      <c r="Q64" s="16" t="s">
        <v>45</v>
      </c>
      <c r="R64" s="17"/>
      <c r="S64" s="17"/>
      <c r="T64" s="17"/>
      <c r="U64" s="17"/>
      <c r="V64" s="18"/>
      <c r="W64" s="16"/>
      <c r="X64" s="17"/>
      <c r="Y64" s="17"/>
      <c r="Z64" s="17"/>
      <c r="AA64" s="17"/>
      <c r="AB64" s="18"/>
      <c r="AC64" s="16"/>
      <c r="AD64" s="17"/>
      <c r="AE64" s="17"/>
      <c r="AF64" s="17"/>
      <c r="AG64" s="17"/>
      <c r="AH64" s="17"/>
      <c r="AI64" s="16"/>
      <c r="AJ64" s="17"/>
      <c r="AK64" s="17"/>
      <c r="AL64" s="17"/>
      <c r="AM64" s="17"/>
      <c r="AN64" s="18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8"/>
      <c r="BF64" s="1"/>
    </row>
    <row r="65" spans="1:58" ht="21" customHeight="1">
      <c r="A65" s="1"/>
      <c r="B65" s="16"/>
      <c r="C65" s="17"/>
      <c r="D65" s="18"/>
      <c r="E65" s="16"/>
      <c r="F65" s="17"/>
      <c r="G65" s="17"/>
      <c r="H65" s="17"/>
      <c r="I65" s="17"/>
      <c r="J65" s="18"/>
      <c r="K65" s="16"/>
      <c r="L65" s="17"/>
      <c r="M65" s="17"/>
      <c r="N65" s="17"/>
      <c r="O65" s="17"/>
      <c r="P65" s="18"/>
      <c r="Q65" s="16" t="s">
        <v>51</v>
      </c>
      <c r="R65" s="17"/>
      <c r="S65" s="17"/>
      <c r="T65" s="17"/>
      <c r="U65" s="17"/>
      <c r="V65" s="18"/>
      <c r="W65" s="16"/>
      <c r="X65" s="17"/>
      <c r="Y65" s="17"/>
      <c r="Z65" s="17"/>
      <c r="AA65" s="17"/>
      <c r="AB65" s="18"/>
      <c r="AC65" s="16"/>
      <c r="AD65" s="17"/>
      <c r="AE65" s="17"/>
      <c r="AF65" s="17"/>
      <c r="AG65" s="17"/>
      <c r="AH65" s="17"/>
      <c r="AI65" s="16"/>
      <c r="AJ65" s="17"/>
      <c r="AK65" s="17"/>
      <c r="AL65" s="17"/>
      <c r="AM65" s="17"/>
      <c r="AN65" s="18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8"/>
      <c r="BF65" s="1"/>
    </row>
    <row r="66" spans="1:58" ht="21" customHeight="1">
      <c r="A66" s="1"/>
      <c r="B66" s="16"/>
      <c r="C66" s="17"/>
      <c r="D66" s="18"/>
      <c r="E66" s="16"/>
      <c r="F66" s="17"/>
      <c r="G66" s="17"/>
      <c r="H66" s="17"/>
      <c r="I66" s="17"/>
      <c r="J66" s="18"/>
      <c r="K66" s="16"/>
      <c r="L66" s="17"/>
      <c r="M66" s="17"/>
      <c r="N66" s="17"/>
      <c r="O66" s="17"/>
      <c r="P66" s="18"/>
      <c r="Q66" s="16" t="s">
        <v>53</v>
      </c>
      <c r="R66" s="17"/>
      <c r="S66" s="17"/>
      <c r="T66" s="17"/>
      <c r="U66" s="17"/>
      <c r="V66" s="18"/>
      <c r="W66" s="16"/>
      <c r="X66" s="17"/>
      <c r="Y66" s="17"/>
      <c r="Z66" s="17"/>
      <c r="AA66" s="17"/>
      <c r="AB66" s="18"/>
      <c r="AC66" s="16"/>
      <c r="AD66" s="17"/>
      <c r="AE66" s="17"/>
      <c r="AF66" s="17"/>
      <c r="AG66" s="17"/>
      <c r="AH66" s="17"/>
      <c r="AI66" s="16"/>
      <c r="AJ66" s="17"/>
      <c r="AK66" s="17"/>
      <c r="AL66" s="17"/>
      <c r="AM66" s="17"/>
      <c r="AN66" s="18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8"/>
      <c r="BF66" s="1"/>
    </row>
    <row r="67" spans="1:58" ht="21" customHeight="1">
      <c r="A67" s="1"/>
      <c r="B67" s="16"/>
      <c r="C67" s="17"/>
      <c r="D67" s="18"/>
      <c r="E67" s="16"/>
      <c r="F67" s="17"/>
      <c r="G67" s="17"/>
      <c r="H67" s="17"/>
      <c r="I67" s="17"/>
      <c r="J67" s="18"/>
      <c r="K67" s="16"/>
      <c r="L67" s="17"/>
      <c r="M67" s="17"/>
      <c r="N67" s="17"/>
      <c r="O67" s="17"/>
      <c r="P67" s="18"/>
      <c r="Q67" s="16" t="s">
        <v>55</v>
      </c>
      <c r="R67" s="17"/>
      <c r="S67" s="17"/>
      <c r="T67" s="17"/>
      <c r="U67" s="17"/>
      <c r="V67" s="18"/>
      <c r="W67" s="16"/>
      <c r="X67" s="17"/>
      <c r="Y67" s="17"/>
      <c r="Z67" s="17"/>
      <c r="AA67" s="17"/>
      <c r="AB67" s="18"/>
      <c r="AC67" s="16"/>
      <c r="AD67" s="17"/>
      <c r="AE67" s="17"/>
      <c r="AF67" s="17"/>
      <c r="AG67" s="17"/>
      <c r="AH67" s="17"/>
      <c r="AI67" s="16"/>
      <c r="AJ67" s="17"/>
      <c r="AK67" s="17"/>
      <c r="AL67" s="17"/>
      <c r="AM67" s="17"/>
      <c r="AN67" s="18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8"/>
      <c r="BF67" s="1"/>
    </row>
    <row r="68" spans="1:58" ht="21" customHeight="1">
      <c r="A68" s="1"/>
      <c r="B68" s="16"/>
      <c r="C68" s="17"/>
      <c r="D68" s="18"/>
      <c r="E68" s="16"/>
      <c r="F68" s="17"/>
      <c r="G68" s="17"/>
      <c r="H68" s="17"/>
      <c r="I68" s="17"/>
      <c r="J68" s="18"/>
      <c r="K68" s="16"/>
      <c r="L68" s="17"/>
      <c r="M68" s="17"/>
      <c r="N68" s="17"/>
      <c r="O68" s="17"/>
      <c r="P68" s="18"/>
      <c r="Q68" s="16" t="s">
        <v>58</v>
      </c>
      <c r="R68" s="17"/>
      <c r="S68" s="17"/>
      <c r="T68" s="17"/>
      <c r="U68" s="17"/>
      <c r="V68" s="18"/>
      <c r="W68" s="16"/>
      <c r="X68" s="17"/>
      <c r="Y68" s="17"/>
      <c r="Z68" s="17"/>
      <c r="AA68" s="17"/>
      <c r="AB68" s="18"/>
      <c r="AC68" s="16"/>
      <c r="AD68" s="17"/>
      <c r="AE68" s="17"/>
      <c r="AF68" s="17"/>
      <c r="AG68" s="17"/>
      <c r="AH68" s="17"/>
      <c r="AI68" s="16"/>
      <c r="AJ68" s="17"/>
      <c r="AK68" s="17"/>
      <c r="AL68" s="17"/>
      <c r="AM68" s="17"/>
      <c r="AN68" s="18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8"/>
      <c r="BF68" s="1"/>
    </row>
    <row r="69" spans="1:58" ht="21" customHeight="1">
      <c r="A69" s="1"/>
      <c r="B69" s="16"/>
      <c r="C69" s="17"/>
      <c r="D69" s="18"/>
      <c r="E69" s="16"/>
      <c r="F69" s="17"/>
      <c r="G69" s="17"/>
      <c r="H69" s="17"/>
      <c r="I69" s="17"/>
      <c r="J69" s="18"/>
      <c r="K69" s="16"/>
      <c r="L69" s="17"/>
      <c r="M69" s="17"/>
      <c r="N69" s="17"/>
      <c r="O69" s="17"/>
      <c r="P69" s="18"/>
      <c r="Q69" s="16" t="s">
        <v>60</v>
      </c>
      <c r="R69" s="17"/>
      <c r="S69" s="17"/>
      <c r="T69" s="17"/>
      <c r="U69" s="17"/>
      <c r="V69" s="18"/>
      <c r="W69" s="16"/>
      <c r="X69" s="17"/>
      <c r="Y69" s="17"/>
      <c r="Z69" s="17"/>
      <c r="AA69" s="17"/>
      <c r="AB69" s="18"/>
      <c r="AC69" s="16"/>
      <c r="AD69" s="17"/>
      <c r="AE69" s="17"/>
      <c r="AF69" s="17"/>
      <c r="AG69" s="17"/>
      <c r="AH69" s="17"/>
      <c r="AI69" s="16"/>
      <c r="AJ69" s="17"/>
      <c r="AK69" s="17"/>
      <c r="AL69" s="17"/>
      <c r="AM69" s="17"/>
      <c r="AN69" s="18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8"/>
      <c r="BF69" s="1"/>
    </row>
    <row r="70" spans="1:58" ht="21" customHeight="1">
      <c r="A70" s="1"/>
      <c r="B70" s="16"/>
      <c r="C70" s="17"/>
      <c r="D70" s="18"/>
      <c r="E70" s="16"/>
      <c r="F70" s="17"/>
      <c r="G70" s="17"/>
      <c r="H70" s="17"/>
      <c r="I70" s="17"/>
      <c r="J70" s="18"/>
      <c r="K70" s="16"/>
      <c r="L70" s="17"/>
      <c r="M70" s="17"/>
      <c r="N70" s="17"/>
      <c r="O70" s="17"/>
      <c r="P70" s="18"/>
      <c r="Q70" s="16" t="s">
        <v>71</v>
      </c>
      <c r="R70" s="17"/>
      <c r="S70" s="17"/>
      <c r="T70" s="17"/>
      <c r="U70" s="17"/>
      <c r="V70" s="18"/>
      <c r="W70" s="16"/>
      <c r="X70" s="17"/>
      <c r="Y70" s="17"/>
      <c r="Z70" s="17"/>
      <c r="AA70" s="17"/>
      <c r="AB70" s="18"/>
      <c r="AC70" s="16"/>
      <c r="AD70" s="17"/>
      <c r="AE70" s="17"/>
      <c r="AF70" s="17"/>
      <c r="AG70" s="17"/>
      <c r="AH70" s="17"/>
      <c r="AI70" s="16"/>
      <c r="AJ70" s="17"/>
      <c r="AK70" s="17"/>
      <c r="AL70" s="17"/>
      <c r="AM70" s="17"/>
      <c r="AN70" s="18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8"/>
      <c r="BF70" s="1"/>
    </row>
    <row r="71" spans="1:58" ht="21" customHeight="1">
      <c r="A71" s="1"/>
      <c r="B71" s="16"/>
      <c r="C71" s="17"/>
      <c r="D71" s="18"/>
      <c r="E71" s="16"/>
      <c r="F71" s="17"/>
      <c r="G71" s="17"/>
      <c r="H71" s="17"/>
      <c r="I71" s="17"/>
      <c r="J71" s="18"/>
      <c r="K71" s="16"/>
      <c r="L71" s="17"/>
      <c r="M71" s="17"/>
      <c r="N71" s="17"/>
      <c r="O71" s="17"/>
      <c r="P71" s="18"/>
      <c r="Q71" s="16" t="s">
        <v>92</v>
      </c>
      <c r="R71" s="17"/>
      <c r="S71" s="17"/>
      <c r="T71" s="17"/>
      <c r="U71" s="17"/>
      <c r="V71" s="18"/>
      <c r="W71" s="16"/>
      <c r="X71" s="17"/>
      <c r="Y71" s="17"/>
      <c r="Z71" s="17"/>
      <c r="AA71" s="17"/>
      <c r="AB71" s="18"/>
      <c r="AC71" s="16"/>
      <c r="AD71" s="17"/>
      <c r="AE71" s="17"/>
      <c r="AF71" s="17"/>
      <c r="AG71" s="17"/>
      <c r="AH71" s="17"/>
      <c r="AI71" s="16"/>
      <c r="AJ71" s="17"/>
      <c r="AK71" s="17"/>
      <c r="AL71" s="17"/>
      <c r="AM71" s="17"/>
      <c r="AN71" s="18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8"/>
      <c r="BF71" s="1"/>
    </row>
    <row r="72" spans="1:58" ht="21" customHeight="1">
      <c r="A72" s="1"/>
      <c r="B72" s="16"/>
      <c r="C72" s="17"/>
      <c r="D72" s="18"/>
      <c r="E72" s="16"/>
      <c r="F72" s="17"/>
      <c r="G72" s="17"/>
      <c r="H72" s="17"/>
      <c r="I72" s="17"/>
      <c r="J72" s="18"/>
      <c r="K72" s="16"/>
      <c r="L72" s="17"/>
      <c r="M72" s="17"/>
      <c r="N72" s="17"/>
      <c r="O72" s="17"/>
      <c r="P72" s="18"/>
      <c r="Q72" s="16" t="s">
        <v>93</v>
      </c>
      <c r="R72" s="17"/>
      <c r="S72" s="17"/>
      <c r="T72" s="17"/>
      <c r="U72" s="17"/>
      <c r="V72" s="18"/>
      <c r="W72" s="16"/>
      <c r="X72" s="17"/>
      <c r="Y72" s="17"/>
      <c r="Z72" s="17"/>
      <c r="AA72" s="17"/>
      <c r="AB72" s="18"/>
      <c r="AC72" s="16"/>
      <c r="AD72" s="17"/>
      <c r="AE72" s="17"/>
      <c r="AF72" s="17"/>
      <c r="AG72" s="17"/>
      <c r="AH72" s="17"/>
      <c r="AI72" s="16"/>
      <c r="AJ72" s="17"/>
      <c r="AK72" s="17"/>
      <c r="AL72" s="17"/>
      <c r="AM72" s="17"/>
      <c r="AN72" s="18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8"/>
      <c r="BF72" s="1"/>
    </row>
    <row r="73" spans="1:58" ht="21" customHeight="1">
      <c r="A73" s="1"/>
      <c r="B73" s="16"/>
      <c r="C73" s="17"/>
      <c r="D73" s="18"/>
      <c r="E73" s="16"/>
      <c r="F73" s="17"/>
      <c r="G73" s="17"/>
      <c r="H73" s="17"/>
      <c r="I73" s="17"/>
      <c r="J73" s="18"/>
      <c r="K73" s="16"/>
      <c r="L73" s="17"/>
      <c r="M73" s="17"/>
      <c r="N73" s="17"/>
      <c r="O73" s="17"/>
      <c r="P73" s="18"/>
      <c r="Q73" s="16" t="s">
        <v>74</v>
      </c>
      <c r="R73" s="17"/>
      <c r="S73" s="17"/>
      <c r="T73" s="17"/>
      <c r="U73" s="17"/>
      <c r="V73" s="18"/>
      <c r="W73" s="16"/>
      <c r="X73" s="17"/>
      <c r="Y73" s="17"/>
      <c r="Z73" s="17"/>
      <c r="AA73" s="17"/>
      <c r="AB73" s="18"/>
      <c r="AC73" s="16"/>
      <c r="AD73" s="17"/>
      <c r="AE73" s="17"/>
      <c r="AF73" s="17"/>
      <c r="AG73" s="17"/>
      <c r="AH73" s="17"/>
      <c r="AI73" s="16"/>
      <c r="AJ73" s="17"/>
      <c r="AK73" s="17"/>
      <c r="AL73" s="17"/>
      <c r="AM73" s="17"/>
      <c r="AN73" s="18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8"/>
      <c r="BF73" s="1"/>
    </row>
    <row r="74" spans="1:58" ht="21" customHeight="1">
      <c r="A74" s="1"/>
      <c r="B74" s="16"/>
      <c r="C74" s="17"/>
      <c r="D74" s="18"/>
      <c r="E74" s="16"/>
      <c r="F74" s="17"/>
      <c r="G74" s="17"/>
      <c r="H74" s="17"/>
      <c r="I74" s="17"/>
      <c r="J74" s="18"/>
      <c r="K74" s="16"/>
      <c r="L74" s="17"/>
      <c r="M74" s="17"/>
      <c r="N74" s="17"/>
      <c r="O74" s="17"/>
      <c r="P74" s="18"/>
      <c r="Q74" s="16" t="s">
        <v>94</v>
      </c>
      <c r="R74" s="17"/>
      <c r="S74" s="17"/>
      <c r="T74" s="17"/>
      <c r="U74" s="17"/>
      <c r="V74" s="18"/>
      <c r="W74" s="16"/>
      <c r="X74" s="17"/>
      <c r="Y74" s="17"/>
      <c r="Z74" s="17"/>
      <c r="AA74" s="17"/>
      <c r="AB74" s="18"/>
      <c r="AC74" s="16"/>
      <c r="AD74" s="17"/>
      <c r="AE74" s="17"/>
      <c r="AF74" s="17"/>
      <c r="AG74" s="17"/>
      <c r="AH74" s="17"/>
      <c r="AI74" s="16"/>
      <c r="AJ74" s="17"/>
      <c r="AK74" s="17"/>
      <c r="AL74" s="17"/>
      <c r="AM74" s="17"/>
      <c r="AN74" s="18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8"/>
      <c r="BF74" s="1"/>
    </row>
    <row r="75" spans="1:58" ht="21" customHeight="1">
      <c r="A75" s="1"/>
      <c r="B75" s="16"/>
      <c r="C75" s="17"/>
      <c r="D75" s="18"/>
      <c r="E75" s="16"/>
      <c r="F75" s="17"/>
      <c r="G75" s="17"/>
      <c r="H75" s="17"/>
      <c r="I75" s="17"/>
      <c r="J75" s="18"/>
      <c r="K75" s="16"/>
      <c r="L75" s="17"/>
      <c r="M75" s="17"/>
      <c r="N75" s="17"/>
      <c r="O75" s="17"/>
      <c r="P75" s="18"/>
      <c r="Q75" s="16" t="s">
        <v>95</v>
      </c>
      <c r="R75" s="17"/>
      <c r="S75" s="17"/>
      <c r="T75" s="17"/>
      <c r="U75" s="17"/>
      <c r="V75" s="18"/>
      <c r="W75" s="16"/>
      <c r="X75" s="17"/>
      <c r="Y75" s="17"/>
      <c r="Z75" s="17"/>
      <c r="AA75" s="17"/>
      <c r="AB75" s="18"/>
      <c r="AC75" s="16"/>
      <c r="AD75" s="17"/>
      <c r="AE75" s="17"/>
      <c r="AF75" s="17"/>
      <c r="AG75" s="17"/>
      <c r="AH75" s="17"/>
      <c r="AI75" s="16"/>
      <c r="AJ75" s="17"/>
      <c r="AK75" s="17"/>
      <c r="AL75" s="17"/>
      <c r="AM75" s="17"/>
      <c r="AN75" s="18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8"/>
      <c r="BF75" s="1"/>
    </row>
    <row r="76" spans="1:58" ht="21" customHeight="1">
      <c r="A76" s="1"/>
      <c r="B76" s="16"/>
      <c r="C76" s="17"/>
      <c r="D76" s="18"/>
      <c r="E76" s="16"/>
      <c r="F76" s="17"/>
      <c r="G76" s="17"/>
      <c r="H76" s="17"/>
      <c r="I76" s="17"/>
      <c r="J76" s="18"/>
      <c r="K76" s="16"/>
      <c r="L76" s="17"/>
      <c r="M76" s="17"/>
      <c r="N76" s="17"/>
      <c r="O76" s="17"/>
      <c r="P76" s="18"/>
      <c r="Q76" s="16" t="s">
        <v>77</v>
      </c>
      <c r="R76" s="17"/>
      <c r="S76" s="17"/>
      <c r="T76" s="17"/>
      <c r="U76" s="17"/>
      <c r="V76" s="18"/>
      <c r="W76" s="16"/>
      <c r="X76" s="17"/>
      <c r="Y76" s="17"/>
      <c r="Z76" s="17"/>
      <c r="AA76" s="17"/>
      <c r="AB76" s="18"/>
      <c r="AC76" s="16"/>
      <c r="AD76" s="17"/>
      <c r="AE76" s="17"/>
      <c r="AF76" s="17"/>
      <c r="AG76" s="17"/>
      <c r="AH76" s="17"/>
      <c r="AI76" s="16"/>
      <c r="AJ76" s="17"/>
      <c r="AK76" s="17"/>
      <c r="AL76" s="17"/>
      <c r="AM76" s="17"/>
      <c r="AN76" s="18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8"/>
      <c r="BF76" s="1"/>
    </row>
    <row r="77" spans="1:58" ht="21" customHeight="1">
      <c r="A77" s="1"/>
      <c r="B77" s="22"/>
      <c r="C77" s="1"/>
      <c r="D77" s="23"/>
      <c r="E77" s="22"/>
      <c r="F77" s="1"/>
      <c r="G77" s="1"/>
      <c r="H77" s="1"/>
      <c r="I77" s="1"/>
      <c r="J77" s="23"/>
      <c r="K77" s="22"/>
      <c r="L77" s="1"/>
      <c r="M77" s="1"/>
      <c r="N77" s="1"/>
      <c r="O77" s="1"/>
      <c r="P77" s="23"/>
      <c r="Q77" s="22"/>
      <c r="R77" s="1"/>
      <c r="S77" s="1"/>
      <c r="T77" s="1"/>
      <c r="U77" s="1"/>
      <c r="V77" s="23"/>
      <c r="W77" s="22"/>
      <c r="X77" s="1"/>
      <c r="Y77" s="1"/>
      <c r="Z77" s="1"/>
      <c r="AA77" s="1"/>
      <c r="AB77" s="23"/>
      <c r="AC77" s="22"/>
      <c r="AD77" s="1"/>
      <c r="AE77" s="1"/>
      <c r="AF77" s="1"/>
      <c r="AG77" s="1"/>
      <c r="AH77" s="1"/>
      <c r="AI77" s="19"/>
      <c r="AJ77" s="20"/>
      <c r="AK77" s="20"/>
      <c r="AL77" s="20"/>
      <c r="AM77" s="20"/>
      <c r="AN77" s="2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23"/>
      <c r="BF77" s="1"/>
    </row>
    <row r="78" spans="1:58" ht="21" customHeight="1">
      <c r="A78" s="1"/>
      <c r="B78" s="24" t="s">
        <v>96</v>
      </c>
      <c r="C78" s="25"/>
      <c r="D78" s="26"/>
      <c r="E78" s="24" t="s">
        <v>97</v>
      </c>
      <c r="F78" s="25"/>
      <c r="G78" s="25"/>
      <c r="H78" s="25"/>
      <c r="I78" s="25"/>
      <c r="J78" s="26"/>
      <c r="K78" s="24"/>
      <c r="L78" s="25"/>
      <c r="M78" s="25"/>
      <c r="N78" s="25"/>
      <c r="O78" s="25"/>
      <c r="P78" s="26"/>
      <c r="Q78" s="24" t="s">
        <v>80</v>
      </c>
      <c r="R78" s="25"/>
      <c r="S78" s="25"/>
      <c r="T78" s="25"/>
      <c r="U78" s="25"/>
      <c r="V78" s="26"/>
      <c r="W78" s="24"/>
      <c r="X78" s="25"/>
      <c r="Y78" s="25"/>
      <c r="Z78" s="25"/>
      <c r="AA78" s="25"/>
      <c r="AB78" s="26"/>
      <c r="AC78" s="24" t="s">
        <v>98</v>
      </c>
      <c r="AD78" s="25"/>
      <c r="AE78" s="25"/>
      <c r="AF78" s="25"/>
      <c r="AG78" s="25"/>
      <c r="AH78" s="26"/>
      <c r="AI78" s="24" t="s">
        <v>99</v>
      </c>
      <c r="AJ78" s="25"/>
      <c r="AK78" s="25"/>
      <c r="AL78" s="25"/>
      <c r="AM78" s="25"/>
      <c r="AN78" s="26"/>
      <c r="AO78" s="24" t="s">
        <v>80</v>
      </c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6"/>
      <c r="BF78" s="1"/>
    </row>
    <row r="79" spans="1:58" ht="21" customHeight="1">
      <c r="A79" s="1"/>
      <c r="B79" s="22"/>
      <c r="C79" s="1"/>
      <c r="D79" s="23"/>
      <c r="E79" s="22"/>
      <c r="F79" s="1"/>
      <c r="G79" s="1"/>
      <c r="H79" s="1"/>
      <c r="I79" s="1"/>
      <c r="J79" s="23"/>
      <c r="K79" s="22"/>
      <c r="L79" s="1"/>
      <c r="M79" s="1"/>
      <c r="N79" s="1"/>
      <c r="O79" s="1"/>
      <c r="P79" s="23"/>
      <c r="Q79" s="22" t="s">
        <v>43</v>
      </c>
      <c r="R79" s="1"/>
      <c r="S79" s="1"/>
      <c r="T79" s="1"/>
      <c r="U79" s="1"/>
      <c r="V79" s="23"/>
      <c r="W79" s="22"/>
      <c r="X79" s="1"/>
      <c r="Y79" s="1"/>
      <c r="Z79" s="1"/>
      <c r="AA79" s="1"/>
      <c r="AB79" s="23"/>
      <c r="AC79" s="22"/>
      <c r="AD79" s="1"/>
      <c r="AE79" s="1"/>
      <c r="AF79" s="1"/>
      <c r="AG79" s="1"/>
      <c r="AH79" s="23"/>
      <c r="AI79" s="22"/>
      <c r="AJ79" s="1"/>
      <c r="AK79" s="1"/>
      <c r="AL79" s="1"/>
      <c r="AM79" s="1"/>
      <c r="AN79" s="23"/>
      <c r="AO79" s="22" t="s">
        <v>100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23"/>
      <c r="BF79" s="1"/>
    </row>
    <row r="80" spans="1:58" ht="21" customHeight="1">
      <c r="A80" s="1"/>
      <c r="B80" s="22"/>
      <c r="C80" s="1"/>
      <c r="D80" s="23"/>
      <c r="E80" s="22"/>
      <c r="F80" s="1"/>
      <c r="G80" s="1"/>
      <c r="H80" s="1"/>
      <c r="I80" s="1"/>
      <c r="J80" s="23"/>
      <c r="K80" s="22"/>
      <c r="L80" s="1"/>
      <c r="M80" s="1"/>
      <c r="N80" s="1"/>
      <c r="O80" s="1"/>
      <c r="P80" s="23"/>
      <c r="Q80" s="22"/>
      <c r="R80" s="1"/>
      <c r="S80" s="1"/>
      <c r="T80" s="1"/>
      <c r="U80" s="1"/>
      <c r="V80" s="23"/>
      <c r="W80" s="22"/>
      <c r="X80" s="1"/>
      <c r="Y80" s="1"/>
      <c r="Z80" s="1"/>
      <c r="AA80" s="1"/>
      <c r="AB80" s="23"/>
      <c r="AC80" s="22"/>
      <c r="AD80" s="1"/>
      <c r="AE80" s="1"/>
      <c r="AF80" s="1"/>
      <c r="AG80" s="1"/>
      <c r="AH80" s="23"/>
      <c r="AI80" s="22"/>
      <c r="AJ80" s="1"/>
      <c r="AK80" s="1"/>
      <c r="AL80" s="1"/>
      <c r="AM80" s="1"/>
      <c r="AN80" s="23"/>
      <c r="AO80" s="22" t="s">
        <v>43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23"/>
      <c r="BF80" s="1"/>
    </row>
    <row r="81" spans="1:58" ht="21" customHeight="1">
      <c r="A81" s="1"/>
      <c r="B81" s="22"/>
      <c r="C81" s="1"/>
      <c r="D81" s="23"/>
      <c r="E81" s="22"/>
      <c r="F81" s="1"/>
      <c r="G81" s="1"/>
      <c r="H81" s="1"/>
      <c r="I81" s="1"/>
      <c r="J81" s="23"/>
      <c r="K81" s="22"/>
      <c r="L81" s="1"/>
      <c r="M81" s="1"/>
      <c r="N81" s="1"/>
      <c r="O81" s="1"/>
      <c r="P81" s="23"/>
      <c r="Q81" s="22"/>
      <c r="R81" s="1"/>
      <c r="S81" s="1"/>
      <c r="T81" s="1"/>
      <c r="U81" s="1"/>
      <c r="V81" s="23"/>
      <c r="W81" s="22"/>
      <c r="X81" s="1"/>
      <c r="Y81" s="1"/>
      <c r="Z81" s="1"/>
      <c r="AA81" s="1"/>
      <c r="AB81" s="23"/>
      <c r="AC81" s="22"/>
      <c r="AD81" s="1"/>
      <c r="AE81" s="1"/>
      <c r="AF81" s="1"/>
      <c r="AG81" s="1"/>
      <c r="AH81" s="23"/>
      <c r="AI81" s="22"/>
      <c r="AJ81" s="1"/>
      <c r="AK81" s="1"/>
      <c r="AL81" s="1"/>
      <c r="AM81" s="1"/>
      <c r="AN81" s="23"/>
      <c r="AO81" s="22" t="s">
        <v>101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23"/>
      <c r="BF81" s="1"/>
    </row>
    <row r="82" spans="1:58" ht="21" customHeight="1">
      <c r="A82" s="1"/>
      <c r="B82" s="19"/>
      <c r="C82" s="20"/>
      <c r="D82" s="21"/>
      <c r="E82" s="19"/>
      <c r="F82" s="20"/>
      <c r="G82" s="20"/>
      <c r="H82" s="20"/>
      <c r="I82" s="20"/>
      <c r="J82" s="21"/>
      <c r="K82" s="19"/>
      <c r="L82" s="20"/>
      <c r="M82" s="20"/>
      <c r="N82" s="20"/>
      <c r="O82" s="20"/>
      <c r="P82" s="21"/>
      <c r="Q82" s="19"/>
      <c r="R82" s="20"/>
      <c r="S82" s="20"/>
      <c r="T82" s="20"/>
      <c r="U82" s="20"/>
      <c r="V82" s="21"/>
      <c r="W82" s="19"/>
      <c r="X82" s="20"/>
      <c r="Y82" s="20"/>
      <c r="Z82" s="20"/>
      <c r="AA82" s="20"/>
      <c r="AB82" s="21"/>
      <c r="AC82" s="19"/>
      <c r="AD82" s="20"/>
      <c r="AE82" s="20"/>
      <c r="AF82" s="20"/>
      <c r="AG82" s="20"/>
      <c r="AH82" s="21"/>
      <c r="AI82" s="19"/>
      <c r="AJ82" s="20"/>
      <c r="AK82" s="20"/>
      <c r="AL82" s="20"/>
      <c r="AM82" s="20"/>
      <c r="AN82" s="21"/>
      <c r="AO82" s="19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1"/>
      <c r="BF82" s="1"/>
    </row>
    <row r="83" spans="1:58" ht="21" customHeight="1">
      <c r="A83" s="1"/>
      <c r="B83" s="24" t="s">
        <v>102</v>
      </c>
      <c r="C83" s="25"/>
      <c r="D83" s="26"/>
      <c r="E83" s="24" t="s">
        <v>103</v>
      </c>
      <c r="F83" s="25"/>
      <c r="G83" s="25"/>
      <c r="H83" s="25"/>
      <c r="I83" s="25"/>
      <c r="J83" s="26"/>
      <c r="K83" s="24"/>
      <c r="L83" s="25"/>
      <c r="M83" s="25"/>
      <c r="N83" s="25"/>
      <c r="O83" s="25"/>
      <c r="P83" s="26"/>
      <c r="Q83" s="24" t="s">
        <v>31</v>
      </c>
      <c r="R83" s="25"/>
      <c r="S83" s="25"/>
      <c r="T83" s="25"/>
      <c r="U83" s="25"/>
      <c r="V83" s="26"/>
      <c r="W83" s="24" t="s">
        <v>80</v>
      </c>
      <c r="X83" s="25"/>
      <c r="Y83" s="25"/>
      <c r="Z83" s="25"/>
      <c r="AA83" s="25"/>
      <c r="AB83" s="26"/>
      <c r="AC83" s="24" t="s">
        <v>12</v>
      </c>
      <c r="AD83" s="25"/>
      <c r="AE83" s="25"/>
      <c r="AF83" s="25"/>
      <c r="AG83" s="25"/>
      <c r="AH83" s="26"/>
      <c r="AI83" s="24" t="s">
        <v>7</v>
      </c>
      <c r="AJ83" s="25"/>
      <c r="AK83" s="25"/>
      <c r="AL83" s="25"/>
      <c r="AM83" s="25"/>
      <c r="AN83" s="26"/>
      <c r="AO83" s="24" t="s">
        <v>104</v>
      </c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6"/>
      <c r="BF83" s="1"/>
    </row>
    <row r="84" spans="1:58" ht="21" customHeight="1">
      <c r="A84" s="1"/>
      <c r="B84" s="22"/>
      <c r="C84" s="1"/>
      <c r="D84" s="23"/>
      <c r="E84" s="22"/>
      <c r="F84" s="1"/>
      <c r="G84" s="1"/>
      <c r="H84" s="1"/>
      <c r="I84" s="1"/>
      <c r="J84" s="23"/>
      <c r="K84" s="22"/>
      <c r="L84" s="1"/>
      <c r="M84" s="1"/>
      <c r="N84" s="1"/>
      <c r="O84" s="1"/>
      <c r="P84" s="23"/>
      <c r="Q84" s="22" t="s">
        <v>46</v>
      </c>
      <c r="R84" s="1"/>
      <c r="S84" s="1"/>
      <c r="T84" s="1"/>
      <c r="U84" s="1"/>
      <c r="V84" s="23"/>
      <c r="W84" s="22" t="s">
        <v>85</v>
      </c>
      <c r="X84" s="1"/>
      <c r="Y84" s="1"/>
      <c r="Z84" s="1"/>
      <c r="AA84" s="1"/>
      <c r="AB84" s="23"/>
      <c r="AC84" s="22"/>
      <c r="AD84" s="1"/>
      <c r="AE84" s="1"/>
      <c r="AF84" s="1"/>
      <c r="AG84" s="1"/>
      <c r="AH84" s="23"/>
      <c r="AI84" s="22"/>
      <c r="AJ84" s="1"/>
      <c r="AK84" s="1"/>
      <c r="AL84" s="1"/>
      <c r="AM84" s="1"/>
      <c r="AN84" s="23"/>
      <c r="AO84" s="22" t="s">
        <v>105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23"/>
      <c r="BF84" s="1"/>
    </row>
    <row r="85" spans="1:58" ht="21" customHeight="1">
      <c r="A85" s="1"/>
      <c r="B85" s="22"/>
      <c r="C85" s="1"/>
      <c r="D85" s="23"/>
      <c r="E85" s="22"/>
      <c r="F85" s="1"/>
      <c r="G85" s="1"/>
      <c r="H85" s="1"/>
      <c r="I85" s="1"/>
      <c r="J85" s="23"/>
      <c r="K85" s="22"/>
      <c r="L85" s="1"/>
      <c r="M85" s="1"/>
      <c r="N85" s="1"/>
      <c r="O85" s="1"/>
      <c r="P85" s="23"/>
      <c r="Q85" s="22" t="s">
        <v>77</v>
      </c>
      <c r="R85" s="1"/>
      <c r="S85" s="1"/>
      <c r="T85" s="1"/>
      <c r="U85" s="1"/>
      <c r="V85" s="23"/>
      <c r="W85" s="22" t="s">
        <v>87</v>
      </c>
      <c r="X85" s="1"/>
      <c r="Y85" s="1"/>
      <c r="Z85" s="1"/>
      <c r="AA85" s="1"/>
      <c r="AB85" s="23"/>
      <c r="AC85" s="22"/>
      <c r="AD85" s="1"/>
      <c r="AE85" s="1"/>
      <c r="AF85" s="1"/>
      <c r="AG85" s="1"/>
      <c r="AH85" s="23"/>
      <c r="AI85" s="22"/>
      <c r="AJ85" s="1"/>
      <c r="AK85" s="1"/>
      <c r="AL85" s="1"/>
      <c r="AM85" s="1"/>
      <c r="AN85" s="23"/>
      <c r="AO85" s="22" t="s">
        <v>106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23"/>
      <c r="BF85" s="1"/>
    </row>
    <row r="86" spans="1:58" ht="21" customHeight="1">
      <c r="A86" s="1"/>
      <c r="B86" s="22"/>
      <c r="C86" s="1"/>
      <c r="D86" s="23"/>
      <c r="E86" s="22"/>
      <c r="F86" s="1"/>
      <c r="G86" s="1"/>
      <c r="H86" s="1"/>
      <c r="I86" s="1"/>
      <c r="J86" s="23"/>
      <c r="K86" s="22"/>
      <c r="L86" s="1"/>
      <c r="M86" s="1"/>
      <c r="N86" s="1"/>
      <c r="O86" s="1"/>
      <c r="P86" s="23"/>
      <c r="Q86" s="22" t="s">
        <v>95</v>
      </c>
      <c r="R86" s="1"/>
      <c r="S86" s="1"/>
      <c r="T86" s="1"/>
      <c r="U86" s="1"/>
      <c r="V86" s="23"/>
      <c r="W86" s="22" t="s">
        <v>88</v>
      </c>
      <c r="X86" s="1"/>
      <c r="Y86" s="1"/>
      <c r="Z86" s="1"/>
      <c r="AA86" s="1"/>
      <c r="AB86" s="23"/>
      <c r="AC86" s="22"/>
      <c r="AD86" s="1"/>
      <c r="AE86" s="1"/>
      <c r="AF86" s="1"/>
      <c r="AG86" s="1"/>
      <c r="AH86" s="23"/>
      <c r="AI86" s="22"/>
      <c r="AJ86" s="1"/>
      <c r="AK86" s="1"/>
      <c r="AL86" s="1"/>
      <c r="AM86" s="1"/>
      <c r="AN86" s="23"/>
      <c r="AO86" s="22" t="s">
        <v>107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23"/>
      <c r="BF86" s="1"/>
    </row>
    <row r="87" spans="1:58" ht="21" customHeight="1">
      <c r="A87" s="1"/>
      <c r="B87" s="22"/>
      <c r="C87" s="1"/>
      <c r="D87" s="23"/>
      <c r="E87" s="22"/>
      <c r="F87" s="1"/>
      <c r="G87" s="1"/>
      <c r="H87" s="1"/>
      <c r="I87" s="1"/>
      <c r="J87" s="23"/>
      <c r="K87" s="22"/>
      <c r="L87" s="1"/>
      <c r="M87" s="1"/>
      <c r="N87" s="1"/>
      <c r="O87" s="1"/>
      <c r="P87" s="23"/>
      <c r="Q87" s="22" t="s">
        <v>94</v>
      </c>
      <c r="R87" s="1"/>
      <c r="S87" s="1"/>
      <c r="T87" s="1"/>
      <c r="U87" s="1"/>
      <c r="V87" s="23"/>
      <c r="W87" s="22" t="s">
        <v>89</v>
      </c>
      <c r="X87" s="1"/>
      <c r="Y87" s="1"/>
      <c r="Z87" s="1"/>
      <c r="AA87" s="1"/>
      <c r="AB87" s="23"/>
      <c r="AC87" s="22"/>
      <c r="AD87" s="1"/>
      <c r="AE87" s="1"/>
      <c r="AF87" s="1"/>
      <c r="AG87" s="1"/>
      <c r="AH87" s="23"/>
      <c r="AI87" s="22"/>
      <c r="AJ87" s="1"/>
      <c r="AK87" s="1"/>
      <c r="AL87" s="1"/>
      <c r="AM87" s="1"/>
      <c r="AN87" s="23"/>
      <c r="AO87" s="22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23"/>
      <c r="BF87" s="1"/>
    </row>
    <row r="88" spans="1:58" ht="21" customHeight="1">
      <c r="A88" s="1"/>
      <c r="B88" s="22"/>
      <c r="C88" s="1"/>
      <c r="D88" s="23"/>
      <c r="E88" s="22"/>
      <c r="F88" s="1"/>
      <c r="G88" s="1"/>
      <c r="H88" s="1"/>
      <c r="I88" s="1"/>
      <c r="J88" s="23"/>
      <c r="K88" s="22"/>
      <c r="L88" s="1"/>
      <c r="M88" s="1"/>
      <c r="N88" s="1"/>
      <c r="O88" s="1"/>
      <c r="P88" s="23"/>
      <c r="Q88" s="22" t="s">
        <v>72</v>
      </c>
      <c r="R88" s="1"/>
      <c r="S88" s="1"/>
      <c r="T88" s="1"/>
      <c r="U88" s="1"/>
      <c r="V88" s="23"/>
      <c r="W88" s="22" t="s">
        <v>108</v>
      </c>
      <c r="X88" s="1"/>
      <c r="Y88" s="1"/>
      <c r="Z88" s="1"/>
      <c r="AA88" s="1"/>
      <c r="AB88" s="23"/>
      <c r="AC88" s="22"/>
      <c r="AD88" s="1"/>
      <c r="AE88" s="1"/>
      <c r="AF88" s="1"/>
      <c r="AG88" s="1"/>
      <c r="AH88" s="23"/>
      <c r="AI88" s="22"/>
      <c r="AJ88" s="1"/>
      <c r="AK88" s="1"/>
      <c r="AL88" s="1"/>
      <c r="AM88" s="1"/>
      <c r="AN88" s="23"/>
      <c r="AO88" s="22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23"/>
      <c r="BF88" s="1"/>
    </row>
    <row r="89" spans="1:58" ht="21" customHeight="1">
      <c r="A89" s="1"/>
      <c r="B89" s="22"/>
      <c r="C89" s="1"/>
      <c r="D89" s="23"/>
      <c r="E89" s="22"/>
      <c r="F89" s="1"/>
      <c r="G89" s="1"/>
      <c r="H89" s="1"/>
      <c r="I89" s="1"/>
      <c r="J89" s="23"/>
      <c r="K89" s="22"/>
      <c r="L89" s="1"/>
      <c r="M89" s="1"/>
      <c r="N89" s="1"/>
      <c r="O89" s="1"/>
      <c r="P89" s="23"/>
      <c r="Q89" s="22" t="s">
        <v>71</v>
      </c>
      <c r="R89" s="1"/>
      <c r="S89" s="1"/>
      <c r="T89" s="1"/>
      <c r="U89" s="1"/>
      <c r="V89" s="23"/>
      <c r="W89" s="22"/>
      <c r="X89" s="1"/>
      <c r="Y89" s="1"/>
      <c r="Z89" s="1"/>
      <c r="AA89" s="1"/>
      <c r="AB89" s="23"/>
      <c r="AC89" s="22"/>
      <c r="AD89" s="1"/>
      <c r="AE89" s="1"/>
      <c r="AF89" s="1"/>
      <c r="AG89" s="1"/>
      <c r="AH89" s="23"/>
      <c r="AI89" s="22"/>
      <c r="AJ89" s="1"/>
      <c r="AK89" s="1"/>
      <c r="AL89" s="1"/>
      <c r="AM89" s="1"/>
      <c r="AN89" s="23"/>
      <c r="AO89" s="22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23"/>
      <c r="BF89" s="1"/>
    </row>
    <row r="90" spans="1:58" ht="21" customHeight="1">
      <c r="A90" s="1"/>
      <c r="B90" s="22"/>
      <c r="C90" s="1"/>
      <c r="D90" s="23"/>
      <c r="E90" s="22"/>
      <c r="F90" s="1"/>
      <c r="G90" s="1"/>
      <c r="H90" s="1"/>
      <c r="I90" s="1"/>
      <c r="J90" s="23"/>
      <c r="K90" s="22"/>
      <c r="L90" s="1"/>
      <c r="M90" s="1"/>
      <c r="N90" s="1"/>
      <c r="O90" s="1"/>
      <c r="P90" s="23"/>
      <c r="Q90" s="22" t="s">
        <v>60</v>
      </c>
      <c r="R90" s="1"/>
      <c r="S90" s="1"/>
      <c r="T90" s="1"/>
      <c r="U90" s="1"/>
      <c r="V90" s="23"/>
      <c r="W90" s="22"/>
      <c r="X90" s="1"/>
      <c r="Y90" s="1"/>
      <c r="Z90" s="1"/>
      <c r="AA90" s="1"/>
      <c r="AB90" s="23"/>
      <c r="AC90" s="22"/>
      <c r="AD90" s="1"/>
      <c r="AE90" s="1"/>
      <c r="AF90" s="1"/>
      <c r="AG90" s="1"/>
      <c r="AH90" s="23"/>
      <c r="AI90" s="22"/>
      <c r="AJ90" s="1"/>
      <c r="AK90" s="1"/>
      <c r="AL90" s="1"/>
      <c r="AM90" s="1"/>
      <c r="AN90" s="23"/>
      <c r="AO90" s="22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23"/>
      <c r="BF90" s="1"/>
    </row>
    <row r="91" spans="1:58" ht="21" customHeight="1">
      <c r="A91" s="1"/>
      <c r="B91" s="22"/>
      <c r="C91" s="1"/>
      <c r="D91" s="23"/>
      <c r="E91" s="22"/>
      <c r="F91" s="1"/>
      <c r="G91" s="1"/>
      <c r="H91" s="1"/>
      <c r="I91" s="1"/>
      <c r="J91" s="23"/>
      <c r="K91" s="22"/>
      <c r="L91" s="1"/>
      <c r="M91" s="1"/>
      <c r="N91" s="1"/>
      <c r="O91" s="1"/>
      <c r="P91" s="23"/>
      <c r="Q91" s="22" t="s">
        <v>58</v>
      </c>
      <c r="R91" s="1"/>
      <c r="S91" s="1"/>
      <c r="T91" s="1"/>
      <c r="U91" s="1"/>
      <c r="V91" s="23"/>
      <c r="W91" s="22"/>
      <c r="X91" s="1"/>
      <c r="Y91" s="1"/>
      <c r="Z91" s="1"/>
      <c r="AA91" s="1"/>
      <c r="AB91" s="23"/>
      <c r="AC91" s="22"/>
      <c r="AD91" s="1"/>
      <c r="AE91" s="1"/>
      <c r="AF91" s="1"/>
      <c r="AG91" s="1"/>
      <c r="AH91" s="23"/>
      <c r="AI91" s="22"/>
      <c r="AJ91" s="1"/>
      <c r="AK91" s="1"/>
      <c r="AL91" s="1"/>
      <c r="AM91" s="1"/>
      <c r="AN91" s="23"/>
      <c r="AO91" s="22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23"/>
      <c r="BF91" s="1"/>
    </row>
    <row r="92" spans="1:58" ht="21" customHeight="1">
      <c r="A92" s="1"/>
      <c r="B92" s="22"/>
      <c r="C92" s="1"/>
      <c r="D92" s="23"/>
      <c r="E92" s="22"/>
      <c r="F92" s="1"/>
      <c r="G92" s="1"/>
      <c r="H92" s="1"/>
      <c r="I92" s="1"/>
      <c r="J92" s="23"/>
      <c r="K92" s="22"/>
      <c r="L92" s="1"/>
      <c r="M92" s="1"/>
      <c r="N92" s="1"/>
      <c r="O92" s="1"/>
      <c r="P92" s="23"/>
      <c r="Q92" s="22" t="s">
        <v>56</v>
      </c>
      <c r="R92" s="1"/>
      <c r="S92" s="1"/>
      <c r="T92" s="1"/>
      <c r="U92" s="1"/>
      <c r="V92" s="23"/>
      <c r="W92" s="22"/>
      <c r="X92" s="1"/>
      <c r="Y92" s="1"/>
      <c r="Z92" s="1"/>
      <c r="AA92" s="1"/>
      <c r="AB92" s="23"/>
      <c r="AC92" s="22"/>
      <c r="AD92" s="1"/>
      <c r="AE92" s="1"/>
      <c r="AF92" s="1"/>
      <c r="AG92" s="1"/>
      <c r="AH92" s="23"/>
      <c r="AI92" s="22"/>
      <c r="AJ92" s="1"/>
      <c r="AK92" s="1"/>
      <c r="AL92" s="1"/>
      <c r="AM92" s="1"/>
      <c r="AN92" s="23"/>
      <c r="AO92" s="22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23"/>
      <c r="BF92" s="1"/>
    </row>
    <row r="93" spans="1:58" ht="21" customHeight="1">
      <c r="A93" s="1"/>
      <c r="B93" s="22"/>
      <c r="C93" s="1"/>
      <c r="D93" s="23"/>
      <c r="E93" s="22"/>
      <c r="F93" s="1"/>
      <c r="G93" s="1"/>
      <c r="H93" s="1"/>
      <c r="I93" s="1"/>
      <c r="J93" s="23"/>
      <c r="K93" s="22"/>
      <c r="L93" s="1"/>
      <c r="M93" s="1"/>
      <c r="N93" s="1"/>
      <c r="O93" s="1"/>
      <c r="P93" s="23"/>
      <c r="Q93" s="22" t="s">
        <v>55</v>
      </c>
      <c r="R93" s="1"/>
      <c r="S93" s="1"/>
      <c r="T93" s="1"/>
      <c r="U93" s="1"/>
      <c r="V93" s="23"/>
      <c r="W93" s="22"/>
      <c r="X93" s="1"/>
      <c r="Y93" s="1"/>
      <c r="Z93" s="1"/>
      <c r="AA93" s="1"/>
      <c r="AB93" s="23"/>
      <c r="AC93" s="22"/>
      <c r="AD93" s="1"/>
      <c r="AE93" s="1"/>
      <c r="AF93" s="1"/>
      <c r="AG93" s="1"/>
      <c r="AH93" s="23"/>
      <c r="AI93" s="22"/>
      <c r="AJ93" s="1"/>
      <c r="AK93" s="1"/>
      <c r="AL93" s="1"/>
      <c r="AM93" s="1"/>
      <c r="AN93" s="23"/>
      <c r="AO93" s="22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23"/>
      <c r="BF93" s="1"/>
    </row>
    <row r="94" spans="1:58" ht="21" customHeight="1">
      <c r="A94" s="1"/>
      <c r="B94" s="22"/>
      <c r="C94" s="1"/>
      <c r="D94" s="23"/>
      <c r="E94" s="22"/>
      <c r="F94" s="1"/>
      <c r="G94" s="1"/>
      <c r="H94" s="1"/>
      <c r="I94" s="1"/>
      <c r="J94" s="23"/>
      <c r="K94" s="22"/>
      <c r="L94" s="1"/>
      <c r="M94" s="1"/>
      <c r="N94" s="1"/>
      <c r="O94" s="1"/>
      <c r="P94" s="23"/>
      <c r="Q94" s="22" t="s">
        <v>53</v>
      </c>
      <c r="R94" s="1"/>
      <c r="S94" s="1"/>
      <c r="T94" s="1"/>
      <c r="U94" s="1"/>
      <c r="V94" s="23"/>
      <c r="W94" s="22"/>
      <c r="X94" s="1"/>
      <c r="Y94" s="1"/>
      <c r="Z94" s="1"/>
      <c r="AA94" s="1"/>
      <c r="AB94" s="23"/>
      <c r="AC94" s="22"/>
      <c r="AD94" s="1"/>
      <c r="AE94" s="1"/>
      <c r="AF94" s="1"/>
      <c r="AG94" s="1"/>
      <c r="AH94" s="23"/>
      <c r="AI94" s="22"/>
      <c r="AJ94" s="1"/>
      <c r="AK94" s="1"/>
      <c r="AL94" s="1"/>
      <c r="AM94" s="1"/>
      <c r="AN94" s="23"/>
      <c r="AO94" s="22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23"/>
      <c r="BF94" s="1"/>
    </row>
    <row r="95" spans="1:58" ht="21" customHeight="1">
      <c r="A95" s="1"/>
      <c r="B95" s="22"/>
      <c r="C95" s="1"/>
      <c r="D95" s="23"/>
      <c r="E95" s="22"/>
      <c r="F95" s="1"/>
      <c r="G95" s="1"/>
      <c r="H95" s="1"/>
      <c r="I95" s="1"/>
      <c r="J95" s="23"/>
      <c r="K95" s="22"/>
      <c r="L95" s="1"/>
      <c r="M95" s="1"/>
      <c r="N95" s="1"/>
      <c r="O95" s="1"/>
      <c r="P95" s="23"/>
      <c r="Q95" s="22" t="s">
        <v>51</v>
      </c>
      <c r="R95" s="1"/>
      <c r="S95" s="1"/>
      <c r="T95" s="1"/>
      <c r="U95" s="1"/>
      <c r="V95" s="23"/>
      <c r="W95" s="22"/>
      <c r="X95" s="1"/>
      <c r="Y95" s="1"/>
      <c r="Z95" s="1"/>
      <c r="AA95" s="1"/>
      <c r="AB95" s="23"/>
      <c r="AC95" s="22"/>
      <c r="AD95" s="1"/>
      <c r="AE95" s="1"/>
      <c r="AF95" s="1"/>
      <c r="AG95" s="1"/>
      <c r="AH95" s="23"/>
      <c r="AI95" s="22"/>
      <c r="AJ95" s="1"/>
      <c r="AK95" s="1"/>
      <c r="AL95" s="1"/>
      <c r="AM95" s="1"/>
      <c r="AN95" s="23"/>
      <c r="AO95" s="22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23"/>
      <c r="BF95" s="1"/>
    </row>
    <row r="96" spans="1:58" ht="21" customHeight="1">
      <c r="A96" s="1"/>
      <c r="B96" s="22"/>
      <c r="C96" s="1"/>
      <c r="D96" s="23"/>
      <c r="E96" s="22"/>
      <c r="F96" s="1"/>
      <c r="G96" s="1"/>
      <c r="H96" s="1"/>
      <c r="I96" s="1"/>
      <c r="J96" s="23"/>
      <c r="K96" s="22"/>
      <c r="L96" s="1"/>
      <c r="M96" s="1"/>
      <c r="N96" s="1"/>
      <c r="O96" s="1"/>
      <c r="P96" s="23"/>
      <c r="Q96" s="22" t="s">
        <v>49</v>
      </c>
      <c r="R96" s="1"/>
      <c r="S96" s="1"/>
      <c r="T96" s="1"/>
      <c r="U96" s="1"/>
      <c r="V96" s="23"/>
      <c r="W96" s="22"/>
      <c r="X96" s="1"/>
      <c r="Y96" s="1"/>
      <c r="Z96" s="1"/>
      <c r="AA96" s="1"/>
      <c r="AB96" s="23"/>
      <c r="AC96" s="22"/>
      <c r="AD96" s="1"/>
      <c r="AE96" s="1"/>
      <c r="AF96" s="1"/>
      <c r="AG96" s="1"/>
      <c r="AH96" s="23"/>
      <c r="AI96" s="22"/>
      <c r="AJ96" s="1"/>
      <c r="AK96" s="1"/>
      <c r="AL96" s="1"/>
      <c r="AM96" s="1"/>
      <c r="AN96" s="23"/>
      <c r="AO96" s="22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23"/>
      <c r="BF96" s="1"/>
    </row>
    <row r="97" spans="1:58" ht="21" customHeight="1">
      <c r="A97" s="1"/>
      <c r="B97" s="22"/>
      <c r="C97" s="1"/>
      <c r="D97" s="23"/>
      <c r="E97" s="22"/>
      <c r="F97" s="1"/>
      <c r="G97" s="1"/>
      <c r="H97" s="1"/>
      <c r="I97" s="1"/>
      <c r="J97" s="23"/>
      <c r="K97" s="22"/>
      <c r="L97" s="1"/>
      <c r="M97" s="1"/>
      <c r="N97" s="1"/>
      <c r="O97" s="1"/>
      <c r="P97" s="23"/>
      <c r="Q97" s="22" t="s">
        <v>45</v>
      </c>
      <c r="R97" s="1"/>
      <c r="S97" s="1"/>
      <c r="T97" s="1"/>
      <c r="U97" s="1"/>
      <c r="V97" s="23"/>
      <c r="W97" s="22"/>
      <c r="X97" s="1"/>
      <c r="Y97" s="1"/>
      <c r="Z97" s="1"/>
      <c r="AA97" s="1"/>
      <c r="AB97" s="23"/>
      <c r="AC97" s="22"/>
      <c r="AD97" s="1"/>
      <c r="AE97" s="1"/>
      <c r="AF97" s="1"/>
      <c r="AG97" s="1"/>
      <c r="AH97" s="23"/>
      <c r="AI97" s="22"/>
      <c r="AJ97" s="1"/>
      <c r="AK97" s="1"/>
      <c r="AL97" s="1"/>
      <c r="AM97" s="1"/>
      <c r="AN97" s="23"/>
      <c r="AO97" s="22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23"/>
      <c r="BF97" s="1"/>
    </row>
    <row r="98" spans="1:58" ht="21" customHeight="1">
      <c r="A98" s="1"/>
      <c r="B98" s="22"/>
      <c r="C98" s="1"/>
      <c r="D98" s="23"/>
      <c r="E98" s="22"/>
      <c r="F98" s="1"/>
      <c r="G98" s="1"/>
      <c r="H98" s="1"/>
      <c r="I98" s="1"/>
      <c r="J98" s="23"/>
      <c r="K98" s="22"/>
      <c r="L98" s="1"/>
      <c r="M98" s="1"/>
      <c r="N98" s="1"/>
      <c r="O98" s="1"/>
      <c r="P98" s="23"/>
      <c r="Q98" s="22" t="s">
        <v>43</v>
      </c>
      <c r="R98" s="1"/>
      <c r="S98" s="1"/>
      <c r="T98" s="1"/>
      <c r="U98" s="1"/>
      <c r="V98" s="23"/>
      <c r="W98" s="22"/>
      <c r="X98" s="1"/>
      <c r="Y98" s="1"/>
      <c r="Z98" s="1"/>
      <c r="AA98" s="1"/>
      <c r="AB98" s="23"/>
      <c r="AC98" s="22"/>
      <c r="AD98" s="1"/>
      <c r="AE98" s="1"/>
      <c r="AF98" s="1"/>
      <c r="AG98" s="1"/>
      <c r="AH98" s="23"/>
      <c r="AI98" s="22"/>
      <c r="AJ98" s="1"/>
      <c r="AK98" s="1"/>
      <c r="AL98" s="1"/>
      <c r="AM98" s="1"/>
      <c r="AN98" s="23"/>
      <c r="AO98" s="22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23"/>
      <c r="BF98" s="1"/>
    </row>
    <row r="99" spans="1:58" ht="21" customHeight="1">
      <c r="A99" s="1"/>
      <c r="B99" s="22"/>
      <c r="C99" s="1"/>
      <c r="D99" s="23"/>
      <c r="E99" s="22"/>
      <c r="F99" s="1"/>
      <c r="G99" s="1"/>
      <c r="H99" s="1"/>
      <c r="I99" s="1"/>
      <c r="J99" s="23"/>
      <c r="K99" s="22"/>
      <c r="L99" s="1"/>
      <c r="M99" s="1"/>
      <c r="N99" s="1"/>
      <c r="O99" s="1"/>
      <c r="P99" s="23"/>
      <c r="Q99" s="22" t="s">
        <v>41</v>
      </c>
      <c r="R99" s="1"/>
      <c r="S99" s="1"/>
      <c r="T99" s="1"/>
      <c r="U99" s="1"/>
      <c r="V99" s="23"/>
      <c r="W99" s="22"/>
      <c r="X99" s="1"/>
      <c r="Y99" s="1"/>
      <c r="Z99" s="1"/>
      <c r="AA99" s="1"/>
      <c r="AB99" s="23"/>
      <c r="AC99" s="22"/>
      <c r="AD99" s="1"/>
      <c r="AE99" s="1"/>
      <c r="AF99" s="1"/>
      <c r="AG99" s="1"/>
      <c r="AH99" s="23"/>
      <c r="AI99" s="22"/>
      <c r="AJ99" s="1"/>
      <c r="AK99" s="1"/>
      <c r="AL99" s="1"/>
      <c r="AM99" s="1"/>
      <c r="AN99" s="23"/>
      <c r="AO99" s="22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23"/>
      <c r="BF99" s="1"/>
    </row>
    <row r="100" spans="1:58" ht="21" customHeight="1">
      <c r="A100" s="1"/>
      <c r="B100" s="22"/>
      <c r="C100" s="1"/>
      <c r="D100" s="23"/>
      <c r="E100" s="22"/>
      <c r="F100" s="1"/>
      <c r="G100" s="1"/>
      <c r="H100" s="1"/>
      <c r="I100" s="1"/>
      <c r="J100" s="23"/>
      <c r="K100" s="22"/>
      <c r="L100" s="1"/>
      <c r="M100" s="1"/>
      <c r="N100" s="1"/>
      <c r="O100" s="1"/>
      <c r="P100" s="23"/>
      <c r="Q100" s="22" t="s">
        <v>39</v>
      </c>
      <c r="R100" s="1"/>
      <c r="S100" s="1"/>
      <c r="T100" s="1"/>
      <c r="U100" s="1"/>
      <c r="V100" s="23"/>
      <c r="W100" s="22"/>
      <c r="X100" s="1"/>
      <c r="Y100" s="1"/>
      <c r="Z100" s="1"/>
      <c r="AA100" s="1"/>
      <c r="AB100" s="23"/>
      <c r="AC100" s="22"/>
      <c r="AD100" s="1"/>
      <c r="AE100" s="1"/>
      <c r="AF100" s="1"/>
      <c r="AG100" s="1"/>
      <c r="AH100" s="23"/>
      <c r="AI100" s="22"/>
      <c r="AJ100" s="1"/>
      <c r="AK100" s="1"/>
      <c r="AL100" s="1"/>
      <c r="AM100" s="1"/>
      <c r="AN100" s="23"/>
      <c r="AO100" s="22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23"/>
      <c r="BF100" s="1"/>
    </row>
    <row r="101" spans="1:58" ht="21" customHeight="1">
      <c r="A101" s="1"/>
      <c r="B101" s="22"/>
      <c r="C101" s="1"/>
      <c r="D101" s="23"/>
      <c r="E101" s="22"/>
      <c r="F101" s="1"/>
      <c r="G101" s="1"/>
      <c r="H101" s="1"/>
      <c r="I101" s="1"/>
      <c r="J101" s="23"/>
      <c r="K101" s="22"/>
      <c r="L101" s="1"/>
      <c r="M101" s="1"/>
      <c r="N101" s="1"/>
      <c r="O101" s="1"/>
      <c r="P101" s="23"/>
      <c r="Q101" s="22" t="s">
        <v>70</v>
      </c>
      <c r="R101" s="1"/>
      <c r="S101" s="1"/>
      <c r="T101" s="1"/>
      <c r="U101" s="1"/>
      <c r="V101" s="23"/>
      <c r="W101" s="22"/>
      <c r="X101" s="1"/>
      <c r="Y101" s="1"/>
      <c r="Z101" s="1"/>
      <c r="AA101" s="1"/>
      <c r="AB101" s="23"/>
      <c r="AC101" s="22"/>
      <c r="AD101" s="1"/>
      <c r="AE101" s="1"/>
      <c r="AF101" s="1"/>
      <c r="AG101" s="1"/>
      <c r="AH101" s="23"/>
      <c r="AI101" s="22"/>
      <c r="AJ101" s="1"/>
      <c r="AK101" s="1"/>
      <c r="AL101" s="1"/>
      <c r="AM101" s="1"/>
      <c r="AN101" s="23"/>
      <c r="AO101" s="22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23"/>
      <c r="BF101" s="1"/>
    </row>
    <row r="102" spans="1:58" ht="21" customHeight="1">
      <c r="A102" s="1"/>
      <c r="B102" s="22"/>
      <c r="C102" s="1"/>
      <c r="D102" s="23"/>
      <c r="E102" s="22"/>
      <c r="F102" s="1"/>
      <c r="G102" s="1"/>
      <c r="H102" s="1"/>
      <c r="I102" s="1"/>
      <c r="J102" s="23"/>
      <c r="K102" s="22"/>
      <c r="L102" s="1"/>
      <c r="M102" s="1"/>
      <c r="N102" s="1"/>
      <c r="O102" s="1"/>
      <c r="P102" s="23"/>
      <c r="Q102" s="22" t="s">
        <v>69</v>
      </c>
      <c r="R102" s="1"/>
      <c r="S102" s="1"/>
      <c r="T102" s="1"/>
      <c r="U102" s="1"/>
      <c r="V102" s="23"/>
      <c r="W102" s="22"/>
      <c r="X102" s="1"/>
      <c r="Y102" s="1"/>
      <c r="Z102" s="1"/>
      <c r="AA102" s="1"/>
      <c r="AB102" s="23"/>
      <c r="AC102" s="22"/>
      <c r="AD102" s="1"/>
      <c r="AE102" s="1"/>
      <c r="AF102" s="1"/>
      <c r="AG102" s="1"/>
      <c r="AH102" s="23"/>
      <c r="AI102" s="22"/>
      <c r="AJ102" s="1"/>
      <c r="AK102" s="1"/>
      <c r="AL102" s="1"/>
      <c r="AM102" s="1"/>
      <c r="AN102" s="23"/>
      <c r="AO102" s="22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23"/>
      <c r="BF102" s="1"/>
    </row>
    <row r="103" spans="1:58" ht="21" customHeight="1">
      <c r="A103" s="1"/>
      <c r="B103" s="22"/>
      <c r="C103" s="1"/>
      <c r="D103" s="23"/>
      <c r="E103" s="22"/>
      <c r="F103" s="1"/>
      <c r="G103" s="1"/>
      <c r="H103" s="1"/>
      <c r="I103" s="1"/>
      <c r="J103" s="23"/>
      <c r="K103" s="22"/>
      <c r="L103" s="1"/>
      <c r="M103" s="1"/>
      <c r="N103" s="1"/>
      <c r="O103" s="1"/>
      <c r="P103" s="23"/>
      <c r="Q103" s="22" t="s">
        <v>36</v>
      </c>
      <c r="R103" s="1"/>
      <c r="S103" s="1"/>
      <c r="T103" s="1"/>
      <c r="U103" s="1"/>
      <c r="V103" s="23"/>
      <c r="W103" s="22"/>
      <c r="X103" s="1"/>
      <c r="Y103" s="1"/>
      <c r="Z103" s="1"/>
      <c r="AA103" s="1"/>
      <c r="AB103" s="23"/>
      <c r="AC103" s="22"/>
      <c r="AD103" s="1"/>
      <c r="AE103" s="1"/>
      <c r="AF103" s="1"/>
      <c r="AG103" s="1"/>
      <c r="AH103" s="23"/>
      <c r="AI103" s="22"/>
      <c r="AJ103" s="1"/>
      <c r="AK103" s="1"/>
      <c r="AL103" s="1"/>
      <c r="AM103" s="1"/>
      <c r="AN103" s="23"/>
      <c r="AO103" s="22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23"/>
      <c r="BF103" s="1"/>
    </row>
    <row r="104" spans="1:58" ht="21" customHeight="1">
      <c r="A104" s="1"/>
      <c r="B104" s="22"/>
      <c r="C104" s="1"/>
      <c r="D104" s="23"/>
      <c r="E104" s="22"/>
      <c r="F104" s="1"/>
      <c r="G104" s="1"/>
      <c r="H104" s="1"/>
      <c r="I104" s="1"/>
      <c r="J104" s="23"/>
      <c r="K104" s="22"/>
      <c r="L104" s="1"/>
      <c r="M104" s="1"/>
      <c r="N104" s="1"/>
      <c r="O104" s="1"/>
      <c r="P104" s="23"/>
      <c r="Q104" s="22" t="s">
        <v>33</v>
      </c>
      <c r="R104" s="1"/>
      <c r="S104" s="1"/>
      <c r="T104" s="1"/>
      <c r="U104" s="1"/>
      <c r="V104" s="23"/>
      <c r="W104" s="22"/>
      <c r="X104" s="1"/>
      <c r="Y104" s="1"/>
      <c r="Z104" s="1"/>
      <c r="AA104" s="1"/>
      <c r="AB104" s="23"/>
      <c r="AC104" s="22"/>
      <c r="AD104" s="1"/>
      <c r="AE104" s="1"/>
      <c r="AF104" s="1"/>
      <c r="AG104" s="1"/>
      <c r="AH104" s="23"/>
      <c r="AI104" s="22"/>
      <c r="AJ104" s="1"/>
      <c r="AK104" s="1"/>
      <c r="AL104" s="1"/>
      <c r="AM104" s="1"/>
      <c r="AN104" s="23"/>
      <c r="AO104" s="22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23"/>
      <c r="BF104" s="1"/>
    </row>
    <row r="105" spans="1:58" ht="21" customHeight="1">
      <c r="A105" s="1"/>
      <c r="B105" s="22"/>
      <c r="C105" s="1"/>
      <c r="D105" s="23"/>
      <c r="E105" s="22"/>
      <c r="F105" s="1"/>
      <c r="G105" s="1"/>
      <c r="H105" s="1"/>
      <c r="I105" s="1"/>
      <c r="J105" s="23"/>
      <c r="K105" s="22"/>
      <c r="L105" s="1"/>
      <c r="M105" s="1"/>
      <c r="N105" s="1"/>
      <c r="O105" s="1"/>
      <c r="P105" s="23"/>
      <c r="Q105" s="22" t="s">
        <v>68</v>
      </c>
      <c r="R105" s="1"/>
      <c r="S105" s="1"/>
      <c r="T105" s="1"/>
      <c r="U105" s="1"/>
      <c r="V105" s="23"/>
      <c r="W105" s="22"/>
      <c r="X105" s="1"/>
      <c r="Y105" s="1"/>
      <c r="Z105" s="1"/>
      <c r="AA105" s="1"/>
      <c r="AB105" s="23"/>
      <c r="AC105" s="22"/>
      <c r="AD105" s="1"/>
      <c r="AE105" s="1"/>
      <c r="AF105" s="1"/>
      <c r="AG105" s="1"/>
      <c r="AH105" s="23"/>
      <c r="AI105" s="22"/>
      <c r="AJ105" s="1"/>
      <c r="AK105" s="1"/>
      <c r="AL105" s="1"/>
      <c r="AM105" s="1"/>
      <c r="AN105" s="23"/>
      <c r="AO105" s="22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23"/>
      <c r="BF105" s="1"/>
    </row>
    <row r="106" spans="1:58" ht="21" customHeight="1">
      <c r="A106" s="1"/>
      <c r="B106" s="22"/>
      <c r="C106" s="1"/>
      <c r="D106" s="23"/>
      <c r="E106" s="22"/>
      <c r="F106" s="1"/>
      <c r="G106" s="1"/>
      <c r="H106" s="1"/>
      <c r="I106" s="1"/>
      <c r="J106" s="23"/>
      <c r="K106" s="22"/>
      <c r="L106" s="1"/>
      <c r="M106" s="1"/>
      <c r="N106" s="1"/>
      <c r="O106" s="1"/>
      <c r="P106" s="23"/>
      <c r="Q106" s="22" t="s">
        <v>30</v>
      </c>
      <c r="R106" s="1"/>
      <c r="S106" s="1"/>
      <c r="T106" s="1"/>
      <c r="U106" s="1"/>
      <c r="V106" s="23"/>
      <c r="W106" s="22"/>
      <c r="X106" s="1"/>
      <c r="Y106" s="1"/>
      <c r="Z106" s="1"/>
      <c r="AA106" s="1"/>
      <c r="AB106" s="23"/>
      <c r="AC106" s="22"/>
      <c r="AD106" s="1"/>
      <c r="AE106" s="1"/>
      <c r="AF106" s="1"/>
      <c r="AG106" s="1"/>
      <c r="AH106" s="23"/>
      <c r="AI106" s="22"/>
      <c r="AJ106" s="1"/>
      <c r="AK106" s="1"/>
      <c r="AL106" s="1"/>
      <c r="AM106" s="1"/>
      <c r="AN106" s="23"/>
      <c r="AO106" s="22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23"/>
      <c r="BF106" s="1"/>
    </row>
    <row r="107" spans="1:58" ht="21" customHeight="1">
      <c r="A107" s="1"/>
      <c r="B107" s="22"/>
      <c r="C107" s="1"/>
      <c r="D107" s="23"/>
      <c r="E107" s="22"/>
      <c r="F107" s="1"/>
      <c r="G107" s="1"/>
      <c r="H107" s="1"/>
      <c r="I107" s="1"/>
      <c r="J107" s="23"/>
      <c r="K107" s="22"/>
      <c r="L107" s="1"/>
      <c r="M107" s="1"/>
      <c r="N107" s="1"/>
      <c r="O107" s="1"/>
      <c r="P107" s="23"/>
      <c r="Q107" s="22" t="s">
        <v>67</v>
      </c>
      <c r="R107" s="1"/>
      <c r="S107" s="1"/>
      <c r="T107" s="1"/>
      <c r="U107" s="1"/>
      <c r="V107" s="23"/>
      <c r="W107" s="22"/>
      <c r="X107" s="1"/>
      <c r="Y107" s="1"/>
      <c r="Z107" s="1"/>
      <c r="AA107" s="1"/>
      <c r="AB107" s="23"/>
      <c r="AC107" s="22"/>
      <c r="AD107" s="1"/>
      <c r="AE107" s="1"/>
      <c r="AF107" s="1"/>
      <c r="AG107" s="1"/>
      <c r="AH107" s="23"/>
      <c r="AI107" s="22"/>
      <c r="AJ107" s="1"/>
      <c r="AK107" s="1"/>
      <c r="AL107" s="1"/>
      <c r="AM107" s="1"/>
      <c r="AN107" s="23"/>
      <c r="AO107" s="22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23"/>
      <c r="BF107" s="1"/>
    </row>
    <row r="108" spans="1:58" ht="21" customHeight="1">
      <c r="A108" s="1"/>
      <c r="B108" s="22"/>
      <c r="C108" s="1"/>
      <c r="D108" s="23"/>
      <c r="E108" s="22"/>
      <c r="F108" s="1"/>
      <c r="G108" s="1"/>
      <c r="H108" s="1"/>
      <c r="I108" s="1"/>
      <c r="J108" s="23"/>
      <c r="K108" s="22"/>
      <c r="L108" s="1"/>
      <c r="M108" s="1"/>
      <c r="N108" s="1"/>
      <c r="O108" s="1"/>
      <c r="P108" s="23"/>
      <c r="Q108" s="22" t="s">
        <v>26</v>
      </c>
      <c r="R108" s="1"/>
      <c r="S108" s="1"/>
      <c r="T108" s="1"/>
      <c r="U108" s="1"/>
      <c r="V108" s="23"/>
      <c r="W108" s="22"/>
      <c r="X108" s="1"/>
      <c r="Y108" s="1"/>
      <c r="Z108" s="1"/>
      <c r="AA108" s="1"/>
      <c r="AB108" s="23"/>
      <c r="AC108" s="22"/>
      <c r="AD108" s="1"/>
      <c r="AE108" s="1"/>
      <c r="AF108" s="1"/>
      <c r="AG108" s="1"/>
      <c r="AH108" s="23"/>
      <c r="AI108" s="22"/>
      <c r="AJ108" s="1"/>
      <c r="AK108" s="1"/>
      <c r="AL108" s="1"/>
      <c r="AM108" s="1"/>
      <c r="AN108" s="23"/>
      <c r="AO108" s="22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23"/>
      <c r="BF108" s="1"/>
    </row>
    <row r="109" spans="1:58" ht="21" customHeight="1">
      <c r="A109" s="1"/>
      <c r="B109" s="22"/>
      <c r="C109" s="1"/>
      <c r="D109" s="23"/>
      <c r="E109" s="22"/>
      <c r="F109" s="1"/>
      <c r="G109" s="1"/>
      <c r="H109" s="1"/>
      <c r="I109" s="1"/>
      <c r="J109" s="23"/>
      <c r="K109" s="22"/>
      <c r="L109" s="1"/>
      <c r="M109" s="1"/>
      <c r="N109" s="1"/>
      <c r="O109" s="1"/>
      <c r="P109" s="23"/>
      <c r="Q109" s="22" t="s">
        <v>66</v>
      </c>
      <c r="R109" s="1"/>
      <c r="S109" s="1"/>
      <c r="T109" s="1"/>
      <c r="U109" s="1"/>
      <c r="V109" s="23"/>
      <c r="W109" s="22"/>
      <c r="X109" s="1"/>
      <c r="Y109" s="1"/>
      <c r="Z109" s="1"/>
      <c r="AA109" s="1"/>
      <c r="AB109" s="23"/>
      <c r="AC109" s="22"/>
      <c r="AD109" s="1"/>
      <c r="AE109" s="1"/>
      <c r="AF109" s="1"/>
      <c r="AG109" s="1"/>
      <c r="AH109" s="23"/>
      <c r="AI109" s="22"/>
      <c r="AJ109" s="1"/>
      <c r="AK109" s="1"/>
      <c r="AL109" s="1"/>
      <c r="AM109" s="1"/>
      <c r="AN109" s="23"/>
      <c r="AO109" s="22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23"/>
      <c r="BF109" s="1"/>
    </row>
    <row r="110" spans="1:58" ht="21" customHeight="1">
      <c r="A110" s="1"/>
      <c r="B110" s="22"/>
      <c r="C110" s="1"/>
      <c r="D110" s="23"/>
      <c r="E110" s="22"/>
      <c r="F110" s="1"/>
      <c r="G110" s="1"/>
      <c r="H110" s="1"/>
      <c r="I110" s="1"/>
      <c r="J110" s="23"/>
      <c r="K110" s="22"/>
      <c r="L110" s="1"/>
      <c r="M110" s="1"/>
      <c r="N110" s="1"/>
      <c r="O110" s="1"/>
      <c r="P110" s="23"/>
      <c r="Q110" s="22" t="s">
        <v>65</v>
      </c>
      <c r="R110" s="1"/>
      <c r="S110" s="1"/>
      <c r="T110" s="1"/>
      <c r="U110" s="1"/>
      <c r="V110" s="23"/>
      <c r="W110" s="22"/>
      <c r="X110" s="1"/>
      <c r="Y110" s="1"/>
      <c r="Z110" s="1"/>
      <c r="AA110" s="1"/>
      <c r="AB110" s="23"/>
      <c r="AC110" s="22"/>
      <c r="AD110" s="1"/>
      <c r="AE110" s="1"/>
      <c r="AF110" s="1"/>
      <c r="AG110" s="1"/>
      <c r="AH110" s="23"/>
      <c r="AI110" s="22"/>
      <c r="AJ110" s="1"/>
      <c r="AK110" s="1"/>
      <c r="AL110" s="1"/>
      <c r="AM110" s="1"/>
      <c r="AN110" s="23"/>
      <c r="AO110" s="22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23"/>
      <c r="BF110" s="1"/>
    </row>
    <row r="111" spans="1:58" ht="21" customHeight="1">
      <c r="A111" s="1"/>
      <c r="B111" s="22"/>
      <c r="C111" s="1"/>
      <c r="D111" s="23"/>
      <c r="E111" s="22"/>
      <c r="F111" s="1"/>
      <c r="G111" s="1"/>
      <c r="H111" s="1"/>
      <c r="I111" s="1"/>
      <c r="J111" s="23"/>
      <c r="K111" s="22"/>
      <c r="L111" s="1"/>
      <c r="M111" s="1"/>
      <c r="N111" s="1"/>
      <c r="O111" s="1"/>
      <c r="P111" s="23"/>
      <c r="Q111" s="22" t="s">
        <v>64</v>
      </c>
      <c r="R111" s="1"/>
      <c r="S111" s="1"/>
      <c r="T111" s="1"/>
      <c r="U111" s="1"/>
      <c r="V111" s="23"/>
      <c r="W111" s="22"/>
      <c r="X111" s="1"/>
      <c r="Y111" s="1"/>
      <c r="Z111" s="1"/>
      <c r="AA111" s="1"/>
      <c r="AB111" s="23"/>
      <c r="AC111" s="22"/>
      <c r="AD111" s="1"/>
      <c r="AE111" s="1"/>
      <c r="AF111" s="1"/>
      <c r="AG111" s="1"/>
      <c r="AH111" s="23"/>
      <c r="AI111" s="22"/>
      <c r="AJ111" s="1"/>
      <c r="AK111" s="1"/>
      <c r="AL111" s="1"/>
      <c r="AM111" s="1"/>
      <c r="AN111" s="23"/>
      <c r="AO111" s="22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23"/>
      <c r="BF111" s="1"/>
    </row>
    <row r="112" spans="1:58" ht="21" customHeight="1">
      <c r="A112" s="1"/>
      <c r="B112" s="22"/>
      <c r="C112" s="1"/>
      <c r="D112" s="23"/>
      <c r="E112" s="22"/>
      <c r="F112" s="1"/>
      <c r="G112" s="1"/>
      <c r="H112" s="1"/>
      <c r="I112" s="1"/>
      <c r="J112" s="23"/>
      <c r="K112" s="22"/>
      <c r="L112" s="1"/>
      <c r="M112" s="1"/>
      <c r="N112" s="1"/>
      <c r="O112" s="1"/>
      <c r="P112" s="23"/>
      <c r="Q112" s="22" t="s">
        <v>91</v>
      </c>
      <c r="R112" s="1"/>
      <c r="S112" s="1"/>
      <c r="T112" s="1"/>
      <c r="U112" s="1"/>
      <c r="V112" s="23"/>
      <c r="W112" s="22"/>
      <c r="X112" s="1"/>
      <c r="Y112" s="1"/>
      <c r="Z112" s="1"/>
      <c r="AA112" s="1"/>
      <c r="AB112" s="23"/>
      <c r="AC112" s="22"/>
      <c r="AD112" s="1"/>
      <c r="AE112" s="1"/>
      <c r="AF112" s="1"/>
      <c r="AG112" s="1"/>
      <c r="AH112" s="23"/>
      <c r="AI112" s="22"/>
      <c r="AJ112" s="1"/>
      <c r="AK112" s="1"/>
      <c r="AL112" s="1"/>
      <c r="AM112" s="1"/>
      <c r="AN112" s="23"/>
      <c r="AO112" s="22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23"/>
      <c r="BF112" s="1"/>
    </row>
    <row r="113" spans="1:58" ht="21" customHeight="1">
      <c r="A113" s="1"/>
      <c r="B113" s="22"/>
      <c r="C113" s="1"/>
      <c r="D113" s="23"/>
      <c r="E113" s="22"/>
      <c r="F113" s="1"/>
      <c r="G113" s="1"/>
      <c r="H113" s="1"/>
      <c r="I113" s="1"/>
      <c r="J113" s="23"/>
      <c r="K113" s="22"/>
      <c r="L113" s="1"/>
      <c r="M113" s="1"/>
      <c r="N113" s="1"/>
      <c r="O113" s="1"/>
      <c r="P113" s="23"/>
      <c r="Q113" s="22" t="s">
        <v>61</v>
      </c>
      <c r="R113" s="1"/>
      <c r="S113" s="1"/>
      <c r="T113" s="1"/>
      <c r="U113" s="1"/>
      <c r="V113" s="23"/>
      <c r="W113" s="22"/>
      <c r="X113" s="1"/>
      <c r="Y113" s="1"/>
      <c r="Z113" s="1"/>
      <c r="AA113" s="1"/>
      <c r="AB113" s="23"/>
      <c r="AC113" s="22"/>
      <c r="AD113" s="1"/>
      <c r="AE113" s="1"/>
      <c r="AF113" s="1"/>
      <c r="AG113" s="1"/>
      <c r="AH113" s="23"/>
      <c r="AI113" s="22"/>
      <c r="AJ113" s="1"/>
      <c r="AK113" s="1"/>
      <c r="AL113" s="1"/>
      <c r="AM113" s="1"/>
      <c r="AN113" s="23"/>
      <c r="AO113" s="22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23"/>
      <c r="BF113" s="1"/>
    </row>
    <row r="114" spans="1:58" ht="21" customHeight="1">
      <c r="A114" s="1"/>
      <c r="B114" s="22"/>
      <c r="C114" s="1"/>
      <c r="D114" s="23"/>
      <c r="E114" s="22"/>
      <c r="F114" s="1"/>
      <c r="G114" s="1"/>
      <c r="H114" s="1"/>
      <c r="I114" s="1"/>
      <c r="J114" s="23"/>
      <c r="K114" s="22"/>
      <c r="L114" s="1"/>
      <c r="M114" s="1"/>
      <c r="N114" s="1"/>
      <c r="O114" s="1"/>
      <c r="P114" s="23"/>
      <c r="Q114" s="22" t="s">
        <v>59</v>
      </c>
      <c r="R114" s="1"/>
      <c r="S114" s="1"/>
      <c r="T114" s="1"/>
      <c r="U114" s="1"/>
      <c r="V114" s="23"/>
      <c r="W114" s="22"/>
      <c r="X114" s="1"/>
      <c r="Y114" s="1"/>
      <c r="Z114" s="1"/>
      <c r="AA114" s="1"/>
      <c r="AB114" s="23"/>
      <c r="AC114" s="22"/>
      <c r="AD114" s="1"/>
      <c r="AE114" s="1"/>
      <c r="AF114" s="1"/>
      <c r="AG114" s="1"/>
      <c r="AH114" s="23"/>
      <c r="AI114" s="22"/>
      <c r="AJ114" s="1"/>
      <c r="AK114" s="1"/>
      <c r="AL114" s="1"/>
      <c r="AM114" s="1"/>
      <c r="AN114" s="23"/>
      <c r="AO114" s="22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23"/>
      <c r="BF114" s="1"/>
    </row>
    <row r="115" spans="1:58" ht="21" customHeight="1">
      <c r="A115" s="1"/>
      <c r="B115" s="22"/>
      <c r="C115" s="1"/>
      <c r="D115" s="23"/>
      <c r="E115" s="22"/>
      <c r="F115" s="1"/>
      <c r="G115" s="1"/>
      <c r="H115" s="1"/>
      <c r="I115" s="1"/>
      <c r="J115" s="23"/>
      <c r="K115" s="22"/>
      <c r="L115" s="1"/>
      <c r="M115" s="1"/>
      <c r="N115" s="1"/>
      <c r="O115" s="1"/>
      <c r="P115" s="23"/>
      <c r="Q115" s="22" t="s">
        <v>48</v>
      </c>
      <c r="R115" s="1"/>
      <c r="S115" s="1"/>
      <c r="T115" s="1"/>
      <c r="U115" s="1"/>
      <c r="V115" s="23"/>
      <c r="W115" s="22"/>
      <c r="X115" s="1"/>
      <c r="Y115" s="1"/>
      <c r="Z115" s="1"/>
      <c r="AA115" s="1"/>
      <c r="AB115" s="23"/>
      <c r="AC115" s="22"/>
      <c r="AD115" s="1"/>
      <c r="AE115" s="1"/>
      <c r="AF115" s="1"/>
      <c r="AG115" s="1"/>
      <c r="AH115" s="23"/>
      <c r="AI115" s="22"/>
      <c r="AJ115" s="1"/>
      <c r="AK115" s="1"/>
      <c r="AL115" s="1"/>
      <c r="AM115" s="1"/>
      <c r="AN115" s="23"/>
      <c r="AO115" s="22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23"/>
      <c r="BF115" s="1"/>
    </row>
    <row r="116" spans="1:58" ht="21" customHeight="1">
      <c r="A116" s="1"/>
      <c r="B116" s="22"/>
      <c r="C116" s="1"/>
      <c r="D116" s="23"/>
      <c r="E116" s="22"/>
      <c r="F116" s="1"/>
      <c r="G116" s="1"/>
      <c r="H116" s="1"/>
      <c r="I116" s="1"/>
      <c r="J116" s="23"/>
      <c r="K116" s="22"/>
      <c r="L116" s="1"/>
      <c r="M116" s="1"/>
      <c r="N116" s="1"/>
      <c r="O116" s="1"/>
      <c r="P116" s="23"/>
      <c r="Q116" s="22" t="s">
        <v>50</v>
      </c>
      <c r="R116" s="1"/>
      <c r="S116" s="1"/>
      <c r="T116" s="1"/>
      <c r="U116" s="1"/>
      <c r="V116" s="23"/>
      <c r="W116" s="22"/>
      <c r="X116" s="1"/>
      <c r="Y116" s="1"/>
      <c r="Z116" s="1"/>
      <c r="AA116" s="1"/>
      <c r="AB116" s="23"/>
      <c r="AC116" s="22"/>
      <c r="AD116" s="1"/>
      <c r="AE116" s="1"/>
      <c r="AF116" s="1"/>
      <c r="AG116" s="1"/>
      <c r="AH116" s="23"/>
      <c r="AI116" s="22"/>
      <c r="AJ116" s="1"/>
      <c r="AK116" s="1"/>
      <c r="AL116" s="1"/>
      <c r="AM116" s="1"/>
      <c r="AN116" s="23"/>
      <c r="AO116" s="22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23"/>
      <c r="BF116" s="1"/>
    </row>
    <row r="117" spans="1:58" ht="21" customHeight="1">
      <c r="A117" s="1"/>
      <c r="B117" s="22"/>
      <c r="C117" s="1"/>
      <c r="D117" s="23"/>
      <c r="E117" s="22"/>
      <c r="F117" s="1"/>
      <c r="G117" s="1"/>
      <c r="H117" s="1"/>
      <c r="I117" s="1"/>
      <c r="J117" s="23"/>
      <c r="K117" s="22"/>
      <c r="L117" s="1"/>
      <c r="M117" s="1"/>
      <c r="N117" s="1"/>
      <c r="O117" s="1"/>
      <c r="P117" s="23"/>
      <c r="Q117" s="22" t="s">
        <v>52</v>
      </c>
      <c r="R117" s="1"/>
      <c r="S117" s="1"/>
      <c r="T117" s="1"/>
      <c r="U117" s="1"/>
      <c r="V117" s="23"/>
      <c r="W117" s="22"/>
      <c r="X117" s="1"/>
      <c r="Y117" s="1"/>
      <c r="Z117" s="1"/>
      <c r="AA117" s="1"/>
      <c r="AB117" s="23"/>
      <c r="AC117" s="22"/>
      <c r="AD117" s="1"/>
      <c r="AE117" s="1"/>
      <c r="AF117" s="1"/>
      <c r="AG117" s="1"/>
      <c r="AH117" s="23"/>
      <c r="AI117" s="22"/>
      <c r="AJ117" s="1"/>
      <c r="AK117" s="1"/>
      <c r="AL117" s="1"/>
      <c r="AM117" s="1"/>
      <c r="AN117" s="23"/>
      <c r="AO117" s="22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23"/>
      <c r="BF117" s="1"/>
    </row>
    <row r="118" spans="1:58" ht="21" customHeight="1">
      <c r="A118" s="1"/>
      <c r="B118" s="19"/>
      <c r="C118" s="20"/>
      <c r="D118" s="21"/>
      <c r="E118" s="19"/>
      <c r="F118" s="20"/>
      <c r="G118" s="20"/>
      <c r="H118" s="20"/>
      <c r="I118" s="20"/>
      <c r="J118" s="21"/>
      <c r="K118" s="19"/>
      <c r="L118" s="20"/>
      <c r="M118" s="20"/>
      <c r="N118" s="20"/>
      <c r="O118" s="20"/>
      <c r="P118" s="21"/>
      <c r="Q118" s="19"/>
      <c r="R118" s="20"/>
      <c r="S118" s="20"/>
      <c r="T118" s="20"/>
      <c r="U118" s="20"/>
      <c r="V118" s="21"/>
      <c r="W118" s="19"/>
      <c r="X118" s="20"/>
      <c r="Y118" s="20"/>
      <c r="Z118" s="20"/>
      <c r="AA118" s="20"/>
      <c r="AB118" s="21"/>
      <c r="AC118" s="19"/>
      <c r="AD118" s="20"/>
      <c r="AE118" s="20"/>
      <c r="AF118" s="20"/>
      <c r="AG118" s="20"/>
      <c r="AH118" s="21"/>
      <c r="AI118" s="19"/>
      <c r="AJ118" s="20"/>
      <c r="AK118" s="20"/>
      <c r="AL118" s="20"/>
      <c r="AM118" s="20"/>
      <c r="AN118" s="21"/>
      <c r="AO118" s="19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1"/>
      <c r="BF118" s="1"/>
    </row>
    <row r="119" spans="1:58" ht="21" customHeight="1">
      <c r="A119" s="1"/>
      <c r="B119" s="24" t="s">
        <v>102</v>
      </c>
      <c r="C119" s="25"/>
      <c r="D119" s="26"/>
      <c r="E119" s="24" t="s">
        <v>109</v>
      </c>
      <c r="F119" s="25"/>
      <c r="G119" s="25"/>
      <c r="H119" s="25"/>
      <c r="I119" s="25"/>
      <c r="J119" s="26"/>
      <c r="K119" s="24" t="s">
        <v>110</v>
      </c>
      <c r="L119" s="25"/>
      <c r="M119" s="25"/>
      <c r="N119" s="25"/>
      <c r="O119" s="25"/>
      <c r="P119" s="26"/>
      <c r="Q119" s="24" t="s">
        <v>71</v>
      </c>
      <c r="R119" s="25"/>
      <c r="S119" s="25"/>
      <c r="T119" s="25"/>
      <c r="U119" s="25"/>
      <c r="V119" s="26"/>
      <c r="W119" s="24" t="s">
        <v>95</v>
      </c>
      <c r="X119" s="25"/>
      <c r="Y119" s="25"/>
      <c r="Z119" s="25"/>
      <c r="AA119" s="25"/>
      <c r="AB119" s="26"/>
      <c r="AC119" s="24" t="s">
        <v>14</v>
      </c>
      <c r="AD119" s="25"/>
      <c r="AE119" s="25"/>
      <c r="AF119" s="25"/>
      <c r="AG119" s="25"/>
      <c r="AH119" s="26"/>
      <c r="AI119" s="24" t="s">
        <v>7</v>
      </c>
      <c r="AJ119" s="25"/>
      <c r="AK119" s="25"/>
      <c r="AL119" s="25"/>
      <c r="AM119" s="25"/>
      <c r="AN119" s="26"/>
      <c r="AO119" s="24" t="s">
        <v>111</v>
      </c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6"/>
      <c r="BF119" s="1"/>
    </row>
    <row r="120" spans="1:58" ht="21" customHeight="1">
      <c r="A120" s="1"/>
      <c r="B120" s="22"/>
      <c r="C120" s="1"/>
      <c r="D120" s="23"/>
      <c r="E120" s="22"/>
      <c r="F120" s="1"/>
      <c r="G120" s="1"/>
      <c r="H120" s="1"/>
      <c r="I120" s="1"/>
      <c r="J120" s="23"/>
      <c r="K120" s="22"/>
      <c r="L120" s="1"/>
      <c r="M120" s="1"/>
      <c r="N120" s="1"/>
      <c r="O120" s="1"/>
      <c r="P120" s="23"/>
      <c r="Q120" s="22" t="s">
        <v>72</v>
      </c>
      <c r="R120" s="1"/>
      <c r="S120" s="1"/>
      <c r="T120" s="1"/>
      <c r="U120" s="1"/>
      <c r="V120" s="23"/>
      <c r="W120" s="22"/>
      <c r="X120" s="1"/>
      <c r="Y120" s="1"/>
      <c r="Z120" s="1"/>
      <c r="AA120" s="1"/>
      <c r="AB120" s="23"/>
      <c r="AC120" s="22"/>
      <c r="AD120" s="1"/>
      <c r="AE120" s="1"/>
      <c r="AF120" s="1"/>
      <c r="AG120" s="1"/>
      <c r="AH120" s="23"/>
      <c r="AI120" s="22"/>
      <c r="AJ120" s="1"/>
      <c r="AK120" s="1"/>
      <c r="AL120" s="1"/>
      <c r="AM120" s="1"/>
      <c r="AN120" s="23"/>
      <c r="AO120" s="22" t="s">
        <v>112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23"/>
      <c r="BF120" s="1"/>
    </row>
    <row r="121" spans="1:58" ht="21" customHeight="1">
      <c r="A121" s="1"/>
      <c r="B121" s="19"/>
      <c r="C121" s="20"/>
      <c r="D121" s="21"/>
      <c r="E121" s="19"/>
      <c r="F121" s="20"/>
      <c r="G121" s="20"/>
      <c r="H121" s="20"/>
      <c r="I121" s="20"/>
      <c r="J121" s="21"/>
      <c r="K121" s="19"/>
      <c r="L121" s="20"/>
      <c r="M121" s="20"/>
      <c r="N121" s="20"/>
      <c r="O121" s="20"/>
      <c r="P121" s="21"/>
      <c r="Q121" s="19"/>
      <c r="R121" s="20"/>
      <c r="S121" s="20"/>
      <c r="T121" s="20"/>
      <c r="U121" s="20"/>
      <c r="V121" s="21"/>
      <c r="W121" s="19"/>
      <c r="X121" s="20"/>
      <c r="Y121" s="20"/>
      <c r="Z121" s="20"/>
      <c r="AA121" s="20"/>
      <c r="AB121" s="21"/>
      <c r="AC121" s="19"/>
      <c r="AD121" s="20"/>
      <c r="AE121" s="20"/>
      <c r="AF121" s="20"/>
      <c r="AG121" s="20"/>
      <c r="AH121" s="21"/>
      <c r="AI121" s="19"/>
      <c r="AJ121" s="20"/>
      <c r="AK121" s="20"/>
      <c r="AL121" s="20"/>
      <c r="AM121" s="20"/>
      <c r="AN121" s="21"/>
      <c r="AO121" s="19" t="s">
        <v>113</v>
      </c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1"/>
      <c r="BF121" s="1"/>
    </row>
    <row r="122" spans="1:58" ht="21" customHeight="1">
      <c r="A122" s="1"/>
      <c r="B122" s="24" t="s">
        <v>528</v>
      </c>
      <c r="C122" s="25"/>
      <c r="D122" s="25"/>
      <c r="E122" s="24" t="s">
        <v>529</v>
      </c>
      <c r="F122" s="25"/>
      <c r="G122" s="25"/>
      <c r="H122" s="25"/>
      <c r="I122" s="25"/>
      <c r="J122" s="26"/>
      <c r="K122" s="25" t="s">
        <v>530</v>
      </c>
      <c r="L122" s="25"/>
      <c r="M122" s="25"/>
      <c r="N122" s="25"/>
      <c r="O122" s="25"/>
      <c r="P122" s="25"/>
      <c r="Q122" s="24" t="s">
        <v>531</v>
      </c>
      <c r="R122" s="25"/>
      <c r="S122" s="25"/>
      <c r="T122" s="25"/>
      <c r="U122" s="25"/>
      <c r="V122" s="26"/>
      <c r="W122" s="25"/>
      <c r="X122" s="25"/>
      <c r="Y122" s="25"/>
      <c r="Z122" s="25"/>
      <c r="AA122" s="25"/>
      <c r="AB122" s="25"/>
      <c r="AC122" s="24" t="s">
        <v>521</v>
      </c>
      <c r="AD122" s="25"/>
      <c r="AE122" s="25"/>
      <c r="AF122" s="25"/>
      <c r="AG122" s="25"/>
      <c r="AH122" s="26"/>
      <c r="AI122" s="25" t="s">
        <v>525</v>
      </c>
      <c r="AJ122" s="25"/>
      <c r="AK122" s="25"/>
      <c r="AL122" s="25"/>
      <c r="AM122" s="25"/>
      <c r="AN122" s="25"/>
      <c r="AO122" s="24" t="s">
        <v>530</v>
      </c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6"/>
      <c r="BF122" s="1"/>
    </row>
    <row r="123" spans="1:58" ht="21" customHeight="1">
      <c r="A123" s="1"/>
      <c r="B123" s="22"/>
      <c r="C123" s="43"/>
      <c r="D123" s="43"/>
      <c r="E123" s="22"/>
      <c r="F123" s="43"/>
      <c r="G123" s="43"/>
      <c r="H123" s="43"/>
      <c r="I123" s="43"/>
      <c r="J123" s="23"/>
      <c r="K123" s="43"/>
      <c r="L123" s="43"/>
      <c r="M123" s="43"/>
      <c r="N123" s="43"/>
      <c r="O123" s="43"/>
      <c r="P123" s="43"/>
      <c r="Q123" s="22"/>
      <c r="R123" s="43"/>
      <c r="S123" s="43"/>
      <c r="T123" s="43"/>
      <c r="U123" s="43"/>
      <c r="V123" s="23"/>
      <c r="W123" s="43"/>
      <c r="X123" s="43"/>
      <c r="Y123" s="43"/>
      <c r="Z123" s="43"/>
      <c r="AA123" s="43"/>
      <c r="AB123" s="43"/>
      <c r="AC123" s="22"/>
      <c r="AD123" s="43"/>
      <c r="AE123" s="43"/>
      <c r="AF123" s="43"/>
      <c r="AG123" s="43"/>
      <c r="AH123" s="23"/>
      <c r="AI123" s="43"/>
      <c r="AJ123" s="43"/>
      <c r="AK123" s="43"/>
      <c r="AL123" s="43"/>
      <c r="AM123" s="43"/>
      <c r="AN123" s="43"/>
      <c r="AO123" s="22" t="s">
        <v>532</v>
      </c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23"/>
      <c r="BF123" s="1"/>
    </row>
    <row r="124" spans="1:58" ht="21" customHeight="1">
      <c r="A124" s="1"/>
      <c r="B124" s="22"/>
      <c r="C124" s="43"/>
      <c r="D124" s="43"/>
      <c r="E124" s="22"/>
      <c r="F124" s="43"/>
      <c r="G124" s="43"/>
      <c r="H124" s="43"/>
      <c r="I124" s="43"/>
      <c r="J124" s="23"/>
      <c r="K124" s="43"/>
      <c r="L124" s="43"/>
      <c r="M124" s="43"/>
      <c r="N124" s="43"/>
      <c r="O124" s="43"/>
      <c r="P124" s="43"/>
      <c r="Q124" s="22"/>
      <c r="R124" s="43"/>
      <c r="S124" s="43"/>
      <c r="T124" s="43"/>
      <c r="U124" s="43"/>
      <c r="V124" s="23"/>
      <c r="W124" s="43"/>
      <c r="X124" s="43"/>
      <c r="Y124" s="43"/>
      <c r="Z124" s="43"/>
      <c r="AA124" s="43"/>
      <c r="AB124" s="43"/>
      <c r="AC124" s="22"/>
      <c r="AD124" s="43"/>
      <c r="AE124" s="43"/>
      <c r="AF124" s="43"/>
      <c r="AG124" s="43"/>
      <c r="AH124" s="23"/>
      <c r="AI124" s="43"/>
      <c r="AJ124" s="43"/>
      <c r="AK124" s="43"/>
      <c r="AL124" s="43"/>
      <c r="AM124" s="43"/>
      <c r="AN124" s="43"/>
      <c r="AO124" s="22" t="s">
        <v>531</v>
      </c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23"/>
      <c r="BF124" s="1"/>
    </row>
    <row r="125" spans="1:58" ht="21" customHeight="1">
      <c r="A125" s="1"/>
      <c r="B125" s="19"/>
      <c r="C125" s="20"/>
      <c r="D125" s="20"/>
      <c r="E125" s="19"/>
      <c r="F125" s="20"/>
      <c r="G125" s="20"/>
      <c r="H125" s="20"/>
      <c r="I125" s="20"/>
      <c r="J125" s="21"/>
      <c r="K125" s="20"/>
      <c r="L125" s="20"/>
      <c r="M125" s="20"/>
      <c r="N125" s="20"/>
      <c r="O125" s="20"/>
      <c r="P125" s="20"/>
      <c r="Q125" s="19"/>
      <c r="R125" s="20"/>
      <c r="S125" s="20"/>
      <c r="T125" s="20"/>
      <c r="U125" s="20"/>
      <c r="V125" s="21"/>
      <c r="W125" s="20"/>
      <c r="X125" s="20"/>
      <c r="Y125" s="20"/>
      <c r="Z125" s="20"/>
      <c r="AA125" s="20"/>
      <c r="AB125" s="20"/>
      <c r="AC125" s="19"/>
      <c r="AD125" s="20"/>
      <c r="AE125" s="20"/>
      <c r="AF125" s="20"/>
      <c r="AG125" s="20"/>
      <c r="AH125" s="21"/>
      <c r="AI125" s="20"/>
      <c r="AJ125" s="20"/>
      <c r="AK125" s="20"/>
      <c r="AL125" s="20"/>
      <c r="AM125" s="20"/>
      <c r="AN125" s="20"/>
      <c r="AO125" s="19" t="s">
        <v>533</v>
      </c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1"/>
      <c r="BF125" s="1"/>
    </row>
    <row r="126" spans="1:58" ht="21" customHeight="1">
      <c r="A126" s="1"/>
      <c r="B126" s="13" t="s">
        <v>536</v>
      </c>
      <c r="C126" s="14"/>
      <c r="D126" s="15"/>
      <c r="E126" s="13" t="s">
        <v>537</v>
      </c>
      <c r="F126" s="14"/>
      <c r="G126" s="14"/>
      <c r="H126" s="14"/>
      <c r="I126" s="14"/>
      <c r="J126" s="15"/>
      <c r="K126" s="13"/>
      <c r="L126" s="14"/>
      <c r="M126" s="14"/>
      <c r="N126" s="14"/>
      <c r="O126" s="14"/>
      <c r="P126" s="15"/>
      <c r="Q126" s="13" t="s">
        <v>539</v>
      </c>
      <c r="R126" s="14"/>
      <c r="S126" s="14"/>
      <c r="T126" s="14"/>
      <c r="U126" s="14"/>
      <c r="V126" s="15"/>
      <c r="W126" s="13"/>
      <c r="X126" s="14"/>
      <c r="Y126" s="14"/>
      <c r="Z126" s="14"/>
      <c r="AA126" s="14"/>
      <c r="AB126" s="15"/>
      <c r="AC126" s="13" t="s">
        <v>12</v>
      </c>
      <c r="AD126" s="14"/>
      <c r="AE126" s="14"/>
      <c r="AF126" s="14"/>
      <c r="AG126" s="14"/>
      <c r="AH126" s="14"/>
      <c r="AI126" s="13" t="s">
        <v>535</v>
      </c>
      <c r="AJ126" s="14"/>
      <c r="AK126" s="14"/>
      <c r="AL126" s="14"/>
      <c r="AM126" s="14"/>
      <c r="AN126" s="15"/>
      <c r="AO126" s="14" t="s">
        <v>538</v>
      </c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5"/>
      <c r="BF126" s="1"/>
    </row>
    <row r="127" spans="1:58" ht="21" customHeight="1">
      <c r="A127" s="1"/>
      <c r="B127" s="16"/>
      <c r="C127" s="17"/>
      <c r="D127" s="18"/>
      <c r="E127" s="16"/>
      <c r="F127" s="17"/>
      <c r="G127" s="17"/>
      <c r="H127" s="17"/>
      <c r="I127" s="17"/>
      <c r="J127" s="18"/>
      <c r="K127" s="16"/>
      <c r="L127" s="17"/>
      <c r="M127" s="17"/>
      <c r="N127" s="17"/>
      <c r="O127" s="17"/>
      <c r="P127" s="18"/>
      <c r="Q127" s="16" t="s">
        <v>540</v>
      </c>
      <c r="R127" s="17"/>
      <c r="S127" s="17"/>
      <c r="T127" s="17"/>
      <c r="U127" s="17"/>
      <c r="V127" s="18"/>
      <c r="W127" s="16"/>
      <c r="X127" s="17"/>
      <c r="Y127" s="17"/>
      <c r="Z127" s="17"/>
      <c r="AA127" s="17"/>
      <c r="AB127" s="18"/>
      <c r="AC127" s="16"/>
      <c r="AD127" s="17"/>
      <c r="AE127" s="17"/>
      <c r="AF127" s="17"/>
      <c r="AG127" s="17"/>
      <c r="AH127" s="17"/>
      <c r="AI127" s="16"/>
      <c r="AJ127" s="17"/>
      <c r="AK127" s="17"/>
      <c r="AL127" s="17"/>
      <c r="AM127" s="17"/>
      <c r="AN127" s="18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8"/>
      <c r="BF127" s="1"/>
    </row>
    <row r="128" spans="1:58" ht="21" customHeight="1">
      <c r="A128" s="1"/>
      <c r="B128" s="16"/>
      <c r="C128" s="17"/>
      <c r="D128" s="18"/>
      <c r="E128" s="16"/>
      <c r="F128" s="17"/>
      <c r="G128" s="17"/>
      <c r="H128" s="17"/>
      <c r="I128" s="17"/>
      <c r="J128" s="18"/>
      <c r="K128" s="16"/>
      <c r="L128" s="17"/>
      <c r="M128" s="17"/>
      <c r="N128" s="17"/>
      <c r="O128" s="17"/>
      <c r="P128" s="18"/>
      <c r="Q128" s="16" t="s">
        <v>541</v>
      </c>
      <c r="R128" s="17"/>
      <c r="S128" s="17"/>
      <c r="T128" s="17"/>
      <c r="U128" s="17"/>
      <c r="V128" s="18"/>
      <c r="W128" s="16"/>
      <c r="X128" s="17"/>
      <c r="Y128" s="17"/>
      <c r="Z128" s="17"/>
      <c r="AA128" s="17"/>
      <c r="AB128" s="18"/>
      <c r="AC128" s="16"/>
      <c r="AD128" s="17"/>
      <c r="AE128" s="17"/>
      <c r="AF128" s="17"/>
      <c r="AG128" s="17"/>
      <c r="AH128" s="17"/>
      <c r="AI128" s="16"/>
      <c r="AJ128" s="17"/>
      <c r="AK128" s="17"/>
      <c r="AL128" s="17"/>
      <c r="AM128" s="17"/>
      <c r="AN128" s="18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8"/>
      <c r="BF128" s="1"/>
    </row>
    <row r="129" spans="1:58" ht="21" customHeight="1">
      <c r="A129" s="1"/>
      <c r="B129" s="16"/>
      <c r="C129" s="17"/>
      <c r="D129" s="18"/>
      <c r="E129" s="16"/>
      <c r="F129" s="17"/>
      <c r="G129" s="17"/>
      <c r="H129" s="17"/>
      <c r="I129" s="17"/>
      <c r="J129" s="18"/>
      <c r="K129" s="16"/>
      <c r="L129" s="17"/>
      <c r="M129" s="17"/>
      <c r="N129" s="17"/>
      <c r="O129" s="17"/>
      <c r="P129" s="18"/>
      <c r="Q129" s="16" t="s">
        <v>531</v>
      </c>
      <c r="R129" s="17"/>
      <c r="S129" s="17"/>
      <c r="T129" s="17"/>
      <c r="U129" s="17"/>
      <c r="V129" s="18"/>
      <c r="W129" s="16"/>
      <c r="X129" s="17"/>
      <c r="Y129" s="17"/>
      <c r="Z129" s="17"/>
      <c r="AA129" s="17"/>
      <c r="AB129" s="18"/>
      <c r="AC129" s="16"/>
      <c r="AD129" s="17"/>
      <c r="AE129" s="17"/>
      <c r="AF129" s="17"/>
      <c r="AG129" s="17"/>
      <c r="AH129" s="17"/>
      <c r="AI129" s="16"/>
      <c r="AJ129" s="17"/>
      <c r="AK129" s="17"/>
      <c r="AL129" s="17"/>
      <c r="AM129" s="17"/>
      <c r="AN129" s="18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8"/>
      <c r="BF129" s="1"/>
    </row>
    <row r="130" spans="1:58" ht="21" customHeight="1">
      <c r="A130" s="1"/>
      <c r="B130" s="16"/>
      <c r="C130" s="17"/>
      <c r="D130" s="18"/>
      <c r="E130" s="16"/>
      <c r="F130" s="17"/>
      <c r="G130" s="17"/>
      <c r="H130" s="17"/>
      <c r="I130" s="17"/>
      <c r="J130" s="18"/>
      <c r="K130" s="16"/>
      <c r="L130" s="17"/>
      <c r="M130" s="17"/>
      <c r="N130" s="17"/>
      <c r="O130" s="17"/>
      <c r="P130" s="18"/>
      <c r="Q130" s="16" t="s">
        <v>542</v>
      </c>
      <c r="R130" s="17"/>
      <c r="S130" s="17"/>
      <c r="T130" s="17"/>
      <c r="U130" s="17"/>
      <c r="V130" s="18"/>
      <c r="W130" s="16"/>
      <c r="X130" s="17"/>
      <c r="Y130" s="17"/>
      <c r="Z130" s="17"/>
      <c r="AA130" s="17"/>
      <c r="AB130" s="18"/>
      <c r="AC130" s="16"/>
      <c r="AD130" s="17"/>
      <c r="AE130" s="17"/>
      <c r="AF130" s="17"/>
      <c r="AG130" s="17"/>
      <c r="AH130" s="17"/>
      <c r="AI130" s="16"/>
      <c r="AJ130" s="17"/>
      <c r="AK130" s="17"/>
      <c r="AL130" s="17"/>
      <c r="AM130" s="17"/>
      <c r="AN130" s="18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8"/>
      <c r="BF130" s="1"/>
    </row>
    <row r="131" spans="1:58" ht="21" customHeight="1">
      <c r="A131" s="1"/>
      <c r="B131" s="16"/>
      <c r="C131" s="17"/>
      <c r="D131" s="18"/>
      <c r="E131" s="16"/>
      <c r="F131" s="17"/>
      <c r="G131" s="17"/>
      <c r="H131" s="17"/>
      <c r="I131" s="17"/>
      <c r="J131" s="18"/>
      <c r="K131" s="16"/>
      <c r="L131" s="17"/>
      <c r="M131" s="17"/>
      <c r="N131" s="17"/>
      <c r="O131" s="17"/>
      <c r="P131" s="18"/>
      <c r="Q131" s="16" t="s">
        <v>543</v>
      </c>
      <c r="R131" s="17"/>
      <c r="S131" s="17"/>
      <c r="T131" s="17"/>
      <c r="U131" s="17"/>
      <c r="V131" s="18"/>
      <c r="W131" s="16"/>
      <c r="X131" s="17"/>
      <c r="Y131" s="17"/>
      <c r="Z131" s="17"/>
      <c r="AA131" s="17"/>
      <c r="AB131" s="18"/>
      <c r="AC131" s="16"/>
      <c r="AD131" s="17"/>
      <c r="AE131" s="17"/>
      <c r="AF131" s="17"/>
      <c r="AG131" s="17"/>
      <c r="AH131" s="17"/>
      <c r="AI131" s="16"/>
      <c r="AJ131" s="17"/>
      <c r="AK131" s="17"/>
      <c r="AL131" s="17"/>
      <c r="AM131" s="17"/>
      <c r="AN131" s="18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8"/>
      <c r="BF131" s="1"/>
    </row>
    <row r="132" spans="1:58" ht="21" customHeight="1">
      <c r="A132" s="1"/>
      <c r="B132" s="16"/>
      <c r="C132" s="17"/>
      <c r="D132" s="18"/>
      <c r="E132" s="16"/>
      <c r="F132" s="17"/>
      <c r="G132" s="17"/>
      <c r="H132" s="17"/>
      <c r="I132" s="17"/>
      <c r="J132" s="18"/>
      <c r="K132" s="16"/>
      <c r="L132" s="17"/>
      <c r="M132" s="17"/>
      <c r="N132" s="17"/>
      <c r="O132" s="17"/>
      <c r="P132" s="18"/>
      <c r="Q132" s="16" t="s">
        <v>544</v>
      </c>
      <c r="R132" s="17"/>
      <c r="S132" s="17"/>
      <c r="T132" s="17"/>
      <c r="U132" s="17"/>
      <c r="V132" s="18"/>
      <c r="W132" s="16"/>
      <c r="X132" s="17"/>
      <c r="Y132" s="17"/>
      <c r="Z132" s="17"/>
      <c r="AA132" s="17"/>
      <c r="AB132" s="18"/>
      <c r="AC132" s="16"/>
      <c r="AD132" s="17"/>
      <c r="AE132" s="17"/>
      <c r="AF132" s="17"/>
      <c r="AG132" s="17"/>
      <c r="AH132" s="17"/>
      <c r="AI132" s="16"/>
      <c r="AJ132" s="17"/>
      <c r="AK132" s="17"/>
      <c r="AL132" s="17"/>
      <c r="AM132" s="17"/>
      <c r="AN132" s="18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8"/>
      <c r="BF132" s="1"/>
    </row>
    <row r="133" spans="1:58" ht="21" customHeight="1">
      <c r="A133" s="1"/>
      <c r="B133" s="16"/>
      <c r="C133" s="17"/>
      <c r="D133" s="18"/>
      <c r="E133" s="16"/>
      <c r="F133" s="17"/>
      <c r="G133" s="17"/>
      <c r="H133" s="17"/>
      <c r="I133" s="17"/>
      <c r="J133" s="18"/>
      <c r="K133" s="16"/>
      <c r="L133" s="17"/>
      <c r="M133" s="17"/>
      <c r="N133" s="17"/>
      <c r="O133" s="17"/>
      <c r="P133" s="18"/>
      <c r="Q133" s="16" t="s">
        <v>545</v>
      </c>
      <c r="R133" s="17"/>
      <c r="S133" s="17"/>
      <c r="T133" s="17"/>
      <c r="U133" s="17"/>
      <c r="V133" s="18"/>
      <c r="W133" s="16"/>
      <c r="X133" s="17"/>
      <c r="Y133" s="17"/>
      <c r="Z133" s="17"/>
      <c r="AA133" s="17"/>
      <c r="AB133" s="18"/>
      <c r="AC133" s="16"/>
      <c r="AD133" s="17"/>
      <c r="AE133" s="17"/>
      <c r="AF133" s="17"/>
      <c r="AG133" s="17"/>
      <c r="AH133" s="17"/>
      <c r="AI133" s="16"/>
      <c r="AJ133" s="17"/>
      <c r="AK133" s="17"/>
      <c r="AL133" s="17"/>
      <c r="AM133" s="17"/>
      <c r="AN133" s="18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8"/>
      <c r="BF133" s="1"/>
    </row>
    <row r="134" spans="1:58" ht="21" customHeight="1">
      <c r="A134" s="1"/>
      <c r="B134" s="16"/>
      <c r="C134" s="17"/>
      <c r="D134" s="18"/>
      <c r="E134" s="16"/>
      <c r="F134" s="17"/>
      <c r="G134" s="17"/>
      <c r="H134" s="17"/>
      <c r="I134" s="17"/>
      <c r="J134" s="18"/>
      <c r="K134" s="17"/>
      <c r="L134" s="8"/>
      <c r="M134" s="17"/>
      <c r="N134" s="17"/>
      <c r="O134" s="17"/>
      <c r="P134" s="18"/>
      <c r="Q134" s="16" t="s">
        <v>546</v>
      </c>
      <c r="R134" s="17"/>
      <c r="S134" s="17"/>
      <c r="T134" s="17"/>
      <c r="U134" s="17"/>
      <c r="V134" s="18"/>
      <c r="W134" s="16"/>
      <c r="X134" s="17"/>
      <c r="Y134" s="17"/>
      <c r="Z134" s="17"/>
      <c r="AA134" s="17"/>
      <c r="AB134" s="18"/>
      <c r="AC134" s="16"/>
      <c r="AD134" s="17"/>
      <c r="AE134" s="17"/>
      <c r="AF134" s="17"/>
      <c r="AG134" s="17"/>
      <c r="AH134" s="17"/>
      <c r="AI134" s="16"/>
      <c r="AJ134" s="17"/>
      <c r="AK134" s="17"/>
      <c r="AL134" s="17"/>
      <c r="AM134" s="17"/>
      <c r="AN134" s="18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8"/>
      <c r="BF134" s="1"/>
    </row>
    <row r="135" spans="1:58" ht="21" customHeight="1">
      <c r="A135" s="1"/>
      <c r="B135" s="16"/>
      <c r="C135" s="17"/>
      <c r="D135" s="18"/>
      <c r="E135" s="16"/>
      <c r="F135" s="17"/>
      <c r="G135" s="17"/>
      <c r="H135" s="17"/>
      <c r="I135" s="17"/>
      <c r="J135" s="18"/>
      <c r="K135" s="16"/>
      <c r="L135" s="17"/>
      <c r="M135" s="17"/>
      <c r="N135" s="17"/>
      <c r="O135" s="17"/>
      <c r="P135" s="18"/>
      <c r="Q135" s="16" t="s">
        <v>547</v>
      </c>
      <c r="R135" s="17"/>
      <c r="S135" s="17"/>
      <c r="T135" s="17"/>
      <c r="U135" s="17"/>
      <c r="V135" s="18"/>
      <c r="W135" s="16"/>
      <c r="X135" s="17"/>
      <c r="Y135" s="17"/>
      <c r="Z135" s="17"/>
      <c r="AA135" s="17"/>
      <c r="AB135" s="18"/>
      <c r="AC135" s="16"/>
      <c r="AD135" s="17"/>
      <c r="AE135" s="17"/>
      <c r="AF135" s="17"/>
      <c r="AG135" s="17"/>
      <c r="AH135" s="17"/>
      <c r="AI135" s="16"/>
      <c r="AJ135" s="17"/>
      <c r="AK135" s="17"/>
      <c r="AL135" s="17"/>
      <c r="AM135" s="17"/>
      <c r="AN135" s="18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8"/>
      <c r="BF135" s="1"/>
    </row>
    <row r="136" spans="1:58" ht="21" customHeight="1">
      <c r="A136" s="1"/>
      <c r="B136" s="16"/>
      <c r="C136" s="17"/>
      <c r="D136" s="18"/>
      <c r="E136" s="16"/>
      <c r="F136" s="17"/>
      <c r="G136" s="17"/>
      <c r="H136" s="17"/>
      <c r="I136" s="17"/>
      <c r="J136" s="18"/>
      <c r="K136" s="16"/>
      <c r="L136" s="17"/>
      <c r="M136" s="17"/>
      <c r="N136" s="17"/>
      <c r="O136" s="17"/>
      <c r="P136" s="18"/>
      <c r="Q136" s="16" t="s">
        <v>548</v>
      </c>
      <c r="R136" s="17"/>
      <c r="S136" s="17"/>
      <c r="T136" s="17"/>
      <c r="U136" s="17"/>
      <c r="V136" s="18"/>
      <c r="W136" s="16"/>
      <c r="X136" s="17"/>
      <c r="Y136" s="17"/>
      <c r="Z136" s="17"/>
      <c r="AA136" s="17"/>
      <c r="AB136" s="18"/>
      <c r="AC136" s="16"/>
      <c r="AD136" s="17"/>
      <c r="AE136" s="17"/>
      <c r="AF136" s="17"/>
      <c r="AG136" s="17"/>
      <c r="AH136" s="17"/>
      <c r="AI136" s="16"/>
      <c r="AJ136" s="17"/>
      <c r="AK136" s="17"/>
      <c r="AL136" s="17"/>
      <c r="AM136" s="17"/>
      <c r="AN136" s="18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8"/>
      <c r="BF136" s="1"/>
    </row>
    <row r="137" spans="1:58" ht="21" customHeight="1">
      <c r="A137" s="1"/>
      <c r="B137" s="16"/>
      <c r="C137" s="17"/>
      <c r="D137" s="18"/>
      <c r="E137" s="16"/>
      <c r="F137" s="17"/>
      <c r="G137" s="17"/>
      <c r="H137" s="17"/>
      <c r="I137" s="17"/>
      <c r="J137" s="18"/>
      <c r="K137" s="16"/>
      <c r="L137" s="17"/>
      <c r="M137" s="17"/>
      <c r="N137" s="17"/>
      <c r="O137" s="17"/>
      <c r="P137" s="18"/>
      <c r="Q137" s="16" t="s">
        <v>549</v>
      </c>
      <c r="R137" s="17"/>
      <c r="S137" s="17"/>
      <c r="T137" s="17"/>
      <c r="U137" s="17"/>
      <c r="V137" s="18"/>
      <c r="W137" s="16"/>
      <c r="X137" s="17"/>
      <c r="Y137" s="17"/>
      <c r="Z137" s="17"/>
      <c r="AA137" s="17"/>
      <c r="AB137" s="18"/>
      <c r="AC137" s="16"/>
      <c r="AD137" s="17"/>
      <c r="AE137" s="17"/>
      <c r="AF137" s="17"/>
      <c r="AG137" s="17"/>
      <c r="AH137" s="17"/>
      <c r="AI137" s="16"/>
      <c r="AJ137" s="17"/>
      <c r="AK137" s="17"/>
      <c r="AL137" s="17"/>
      <c r="AM137" s="17"/>
      <c r="AN137" s="18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8"/>
      <c r="BF137" s="1"/>
    </row>
    <row r="138" spans="1:58" ht="21" customHeight="1">
      <c r="A138" s="1"/>
      <c r="B138" s="16"/>
      <c r="C138" s="17"/>
      <c r="D138" s="18"/>
      <c r="E138" s="16"/>
      <c r="F138" s="17"/>
      <c r="G138" s="17"/>
      <c r="H138" s="17"/>
      <c r="I138" s="17"/>
      <c r="J138" s="18"/>
      <c r="K138" s="16"/>
      <c r="L138" s="17"/>
      <c r="M138" s="17"/>
      <c r="N138" s="17"/>
      <c r="O138" s="17"/>
      <c r="P138" s="18"/>
      <c r="Q138" s="16" t="s">
        <v>550</v>
      </c>
      <c r="R138" s="17"/>
      <c r="S138" s="17"/>
      <c r="T138" s="17"/>
      <c r="U138" s="17"/>
      <c r="V138" s="18"/>
      <c r="W138" s="16"/>
      <c r="X138" s="17"/>
      <c r="Y138" s="17"/>
      <c r="Z138" s="17"/>
      <c r="AA138" s="17"/>
      <c r="AB138" s="18"/>
      <c r="AC138" s="16"/>
      <c r="AD138" s="17"/>
      <c r="AE138" s="17"/>
      <c r="AF138" s="17"/>
      <c r="AG138" s="17"/>
      <c r="AH138" s="17"/>
      <c r="AI138" s="16"/>
      <c r="AJ138" s="17"/>
      <c r="AK138" s="17"/>
      <c r="AL138" s="17"/>
      <c r="AM138" s="17"/>
      <c r="AN138" s="18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8"/>
      <c r="BF138" s="1"/>
    </row>
    <row r="139" spans="1:58" ht="21" customHeight="1">
      <c r="A139" s="1"/>
      <c r="B139" s="16"/>
      <c r="C139" s="17"/>
      <c r="D139" s="18"/>
      <c r="E139" s="16"/>
      <c r="F139" s="17"/>
      <c r="G139" s="17"/>
      <c r="H139" s="17"/>
      <c r="I139" s="17"/>
      <c r="J139" s="18"/>
      <c r="K139" s="16"/>
      <c r="L139" s="17"/>
      <c r="M139" s="17"/>
      <c r="N139" s="17"/>
      <c r="O139" s="17"/>
      <c r="P139" s="18"/>
      <c r="Q139" s="16" t="s">
        <v>551</v>
      </c>
      <c r="R139" s="17"/>
      <c r="S139" s="17"/>
      <c r="T139" s="17"/>
      <c r="U139" s="17"/>
      <c r="V139" s="18"/>
      <c r="W139" s="16"/>
      <c r="X139" s="17"/>
      <c r="Y139" s="17"/>
      <c r="Z139" s="17"/>
      <c r="AA139" s="17"/>
      <c r="AB139" s="18"/>
      <c r="AC139" s="16"/>
      <c r="AD139" s="17"/>
      <c r="AE139" s="17"/>
      <c r="AF139" s="17"/>
      <c r="AG139" s="17"/>
      <c r="AH139" s="17"/>
      <c r="AI139" s="16"/>
      <c r="AJ139" s="17"/>
      <c r="AK139" s="17"/>
      <c r="AL139" s="17"/>
      <c r="AM139" s="17"/>
      <c r="AN139" s="18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8"/>
      <c r="BF139" s="1"/>
    </row>
    <row r="140" spans="1:58" ht="21" customHeight="1">
      <c r="A140" s="1"/>
      <c r="B140" s="16"/>
      <c r="C140" s="17"/>
      <c r="D140" s="18"/>
      <c r="E140" s="16"/>
      <c r="F140" s="17"/>
      <c r="G140" s="17"/>
      <c r="H140" s="17"/>
      <c r="I140" s="17"/>
      <c r="J140" s="18"/>
      <c r="K140" s="16"/>
      <c r="L140" s="17"/>
      <c r="M140" s="17"/>
      <c r="N140" s="17"/>
      <c r="O140" s="17"/>
      <c r="P140" s="18"/>
      <c r="Q140" s="16" t="s">
        <v>552</v>
      </c>
      <c r="R140" s="17"/>
      <c r="S140" s="17"/>
      <c r="T140" s="17"/>
      <c r="U140" s="17"/>
      <c r="V140" s="18"/>
      <c r="W140" s="16"/>
      <c r="X140" s="17"/>
      <c r="Y140" s="17"/>
      <c r="Z140" s="17"/>
      <c r="AA140" s="17"/>
      <c r="AB140" s="18"/>
      <c r="AC140" s="16"/>
      <c r="AD140" s="17"/>
      <c r="AE140" s="17"/>
      <c r="AF140" s="17"/>
      <c r="AG140" s="17"/>
      <c r="AH140" s="17"/>
      <c r="AI140" s="16"/>
      <c r="AJ140" s="17"/>
      <c r="AK140" s="17"/>
      <c r="AL140" s="17"/>
      <c r="AM140" s="17"/>
      <c r="AN140" s="18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8"/>
      <c r="BF140" s="1"/>
    </row>
    <row r="141" spans="1:58" ht="21" customHeight="1">
      <c r="A141" s="1"/>
      <c r="B141" s="16"/>
      <c r="C141" s="17"/>
      <c r="D141" s="18"/>
      <c r="E141" s="16"/>
      <c r="F141" s="17"/>
      <c r="G141" s="17"/>
      <c r="H141" s="17"/>
      <c r="I141" s="17"/>
      <c r="J141" s="18"/>
      <c r="K141" s="16"/>
      <c r="L141" s="17"/>
      <c r="M141" s="17"/>
      <c r="N141" s="17"/>
      <c r="O141" s="17"/>
      <c r="P141" s="18"/>
      <c r="Q141" s="16" t="s">
        <v>553</v>
      </c>
      <c r="R141" s="17"/>
      <c r="S141" s="17"/>
      <c r="T141" s="17"/>
      <c r="U141" s="17"/>
      <c r="V141" s="18"/>
      <c r="W141" s="16"/>
      <c r="X141" s="17"/>
      <c r="Y141" s="17"/>
      <c r="Z141" s="17"/>
      <c r="AA141" s="17"/>
      <c r="AB141" s="18"/>
      <c r="AC141" s="16"/>
      <c r="AD141" s="17"/>
      <c r="AE141" s="17"/>
      <c r="AF141" s="17"/>
      <c r="AG141" s="17"/>
      <c r="AH141" s="17"/>
      <c r="AI141" s="16"/>
      <c r="AJ141" s="17"/>
      <c r="AK141" s="17"/>
      <c r="AL141" s="17"/>
      <c r="AM141" s="17"/>
      <c r="AN141" s="18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8"/>
      <c r="BF141" s="1"/>
    </row>
    <row r="142" spans="1:58" ht="21" customHeight="1">
      <c r="A142" s="1"/>
      <c r="B142" s="16"/>
      <c r="C142" s="17"/>
      <c r="D142" s="18"/>
      <c r="E142" s="16"/>
      <c r="F142" s="17"/>
      <c r="G142" s="17"/>
      <c r="H142" s="17"/>
      <c r="I142" s="17"/>
      <c r="J142" s="18"/>
      <c r="K142" s="16"/>
      <c r="L142" s="17"/>
      <c r="M142" s="17"/>
      <c r="N142" s="17"/>
      <c r="O142" s="17"/>
      <c r="P142" s="18"/>
      <c r="Q142" s="16" t="s">
        <v>554</v>
      </c>
      <c r="R142" s="17"/>
      <c r="S142" s="17"/>
      <c r="T142" s="17"/>
      <c r="U142" s="17"/>
      <c r="V142" s="18"/>
      <c r="W142" s="16"/>
      <c r="X142" s="17"/>
      <c r="Y142" s="17"/>
      <c r="Z142" s="17"/>
      <c r="AA142" s="17"/>
      <c r="AB142" s="18"/>
      <c r="AC142" s="16"/>
      <c r="AD142" s="17"/>
      <c r="AE142" s="17"/>
      <c r="AF142" s="17"/>
      <c r="AG142" s="17"/>
      <c r="AH142" s="17"/>
      <c r="AI142" s="16"/>
      <c r="AJ142" s="17"/>
      <c r="AK142" s="17"/>
      <c r="AL142" s="17"/>
      <c r="AM142" s="17"/>
      <c r="AN142" s="18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8"/>
      <c r="BF142" s="1"/>
    </row>
    <row r="143" spans="1:58" ht="21" customHeight="1">
      <c r="A143" s="1"/>
      <c r="B143" s="16"/>
      <c r="C143" s="17"/>
      <c r="D143" s="18"/>
      <c r="E143" s="16"/>
      <c r="F143" s="17"/>
      <c r="G143" s="17"/>
      <c r="H143" s="17"/>
      <c r="I143" s="17"/>
      <c r="J143" s="18"/>
      <c r="K143" s="16"/>
      <c r="L143" s="17"/>
      <c r="M143" s="17"/>
      <c r="N143" s="17"/>
      <c r="O143" s="17"/>
      <c r="P143" s="18"/>
      <c r="Q143" s="16" t="s">
        <v>555</v>
      </c>
      <c r="R143" s="17"/>
      <c r="S143" s="17"/>
      <c r="T143" s="17"/>
      <c r="U143" s="17"/>
      <c r="V143" s="18"/>
      <c r="W143" s="16"/>
      <c r="X143" s="17"/>
      <c r="Y143" s="17"/>
      <c r="Z143" s="17"/>
      <c r="AA143" s="17"/>
      <c r="AB143" s="18"/>
      <c r="AC143" s="16"/>
      <c r="AD143" s="17"/>
      <c r="AE143" s="17"/>
      <c r="AF143" s="17"/>
      <c r="AG143" s="17"/>
      <c r="AH143" s="17"/>
      <c r="AI143" s="16"/>
      <c r="AJ143" s="17"/>
      <c r="AK143" s="17"/>
      <c r="AL143" s="17"/>
      <c r="AM143" s="17"/>
      <c r="AN143" s="18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8"/>
      <c r="BF143" s="1"/>
    </row>
    <row r="144" spans="1:58" ht="21" customHeight="1">
      <c r="A144" s="1"/>
      <c r="B144" s="16"/>
      <c r="C144" s="17"/>
      <c r="D144" s="18"/>
      <c r="E144" s="16"/>
      <c r="F144" s="17"/>
      <c r="G144" s="17"/>
      <c r="H144" s="17"/>
      <c r="I144" s="17"/>
      <c r="J144" s="18"/>
      <c r="K144" s="16"/>
      <c r="L144" s="17"/>
      <c r="M144" s="17"/>
      <c r="N144" s="17"/>
      <c r="O144" s="17"/>
      <c r="P144" s="18"/>
      <c r="Q144" s="16" t="s">
        <v>556</v>
      </c>
      <c r="R144" s="17"/>
      <c r="S144" s="17"/>
      <c r="T144" s="17"/>
      <c r="U144" s="17"/>
      <c r="V144" s="18"/>
      <c r="W144" s="16"/>
      <c r="X144" s="17"/>
      <c r="Y144" s="17"/>
      <c r="Z144" s="17"/>
      <c r="AA144" s="17"/>
      <c r="AB144" s="18"/>
      <c r="AC144" s="16"/>
      <c r="AD144" s="17"/>
      <c r="AE144" s="17"/>
      <c r="AF144" s="17"/>
      <c r="AG144" s="17"/>
      <c r="AH144" s="17"/>
      <c r="AI144" s="16"/>
      <c r="AJ144" s="17"/>
      <c r="AK144" s="17"/>
      <c r="AL144" s="17"/>
      <c r="AM144" s="17"/>
      <c r="AN144" s="18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8"/>
      <c r="BF144" s="1"/>
    </row>
    <row r="145" spans="1:58" ht="21" customHeight="1">
      <c r="A145" s="1"/>
      <c r="B145" s="16"/>
      <c r="C145" s="17"/>
      <c r="D145" s="18"/>
      <c r="E145" s="16"/>
      <c r="F145" s="17"/>
      <c r="G145" s="17"/>
      <c r="H145" s="17"/>
      <c r="I145" s="17"/>
      <c r="J145" s="18"/>
      <c r="K145" s="16"/>
      <c r="L145" s="17"/>
      <c r="M145" s="17"/>
      <c r="N145" s="17"/>
      <c r="O145" s="17"/>
      <c r="P145" s="18"/>
      <c r="Q145" s="16" t="s">
        <v>557</v>
      </c>
      <c r="R145" s="17"/>
      <c r="S145" s="17"/>
      <c r="T145" s="17"/>
      <c r="U145" s="17"/>
      <c r="V145" s="18"/>
      <c r="W145" s="16"/>
      <c r="X145" s="17"/>
      <c r="Y145" s="17"/>
      <c r="Z145" s="17"/>
      <c r="AA145" s="17"/>
      <c r="AB145" s="18"/>
      <c r="AC145" s="16"/>
      <c r="AD145" s="17"/>
      <c r="AE145" s="17"/>
      <c r="AF145" s="17"/>
      <c r="AG145" s="17"/>
      <c r="AH145" s="17"/>
      <c r="AI145" s="16"/>
      <c r="AJ145" s="17"/>
      <c r="AK145" s="17"/>
      <c r="AL145" s="17"/>
      <c r="AM145" s="17"/>
      <c r="AN145" s="18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8"/>
      <c r="BF145" s="1"/>
    </row>
    <row r="146" spans="1:58" ht="21" customHeight="1">
      <c r="A146" s="1"/>
      <c r="B146" s="16"/>
      <c r="C146" s="17"/>
      <c r="D146" s="18"/>
      <c r="E146" s="16"/>
      <c r="F146" s="17"/>
      <c r="G146" s="17"/>
      <c r="H146" s="17"/>
      <c r="I146" s="17"/>
      <c r="J146" s="18"/>
      <c r="K146" s="16"/>
      <c r="L146" s="17"/>
      <c r="M146" s="17"/>
      <c r="N146" s="17"/>
      <c r="O146" s="17"/>
      <c r="P146" s="18"/>
      <c r="Q146" s="16" t="s">
        <v>558</v>
      </c>
      <c r="R146" s="17"/>
      <c r="S146" s="17"/>
      <c r="T146" s="17"/>
      <c r="U146" s="17"/>
      <c r="V146" s="18"/>
      <c r="W146" s="16"/>
      <c r="X146" s="17"/>
      <c r="Y146" s="17"/>
      <c r="Z146" s="17"/>
      <c r="AA146" s="17"/>
      <c r="AB146" s="18"/>
      <c r="AC146" s="16"/>
      <c r="AD146" s="17"/>
      <c r="AE146" s="17"/>
      <c r="AF146" s="17"/>
      <c r="AG146" s="17"/>
      <c r="AH146" s="17"/>
      <c r="AI146" s="16"/>
      <c r="AJ146" s="17"/>
      <c r="AK146" s="17"/>
      <c r="AL146" s="17"/>
      <c r="AM146" s="17"/>
      <c r="AN146" s="18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8"/>
      <c r="BF146" s="1"/>
    </row>
    <row r="147" spans="1:58" ht="21" customHeight="1">
      <c r="A147" s="1"/>
      <c r="B147" s="16"/>
      <c r="C147" s="17"/>
      <c r="D147" s="18"/>
      <c r="E147" s="16"/>
      <c r="F147" s="17"/>
      <c r="G147" s="17"/>
      <c r="H147" s="17"/>
      <c r="I147" s="17"/>
      <c r="J147" s="18"/>
      <c r="K147" s="16"/>
      <c r="L147" s="17"/>
      <c r="M147" s="17"/>
      <c r="N147" s="17"/>
      <c r="O147" s="17"/>
      <c r="P147" s="18"/>
      <c r="Q147" s="16" t="s">
        <v>559</v>
      </c>
      <c r="R147" s="17"/>
      <c r="S147" s="17"/>
      <c r="T147" s="17"/>
      <c r="U147" s="17"/>
      <c r="V147" s="18"/>
      <c r="W147" s="16"/>
      <c r="X147" s="17"/>
      <c r="Y147" s="17"/>
      <c r="Z147" s="17"/>
      <c r="AA147" s="17"/>
      <c r="AB147" s="18"/>
      <c r="AC147" s="16"/>
      <c r="AD147" s="17"/>
      <c r="AE147" s="17"/>
      <c r="AF147" s="17"/>
      <c r="AG147" s="17"/>
      <c r="AH147" s="17"/>
      <c r="AI147" s="16"/>
      <c r="AJ147" s="17"/>
      <c r="AK147" s="17"/>
      <c r="AL147" s="17"/>
      <c r="AM147" s="17"/>
      <c r="AN147" s="18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8"/>
      <c r="BF147" s="1"/>
    </row>
    <row r="148" spans="1:58" ht="21" customHeight="1">
      <c r="A148" s="1"/>
      <c r="B148" s="16"/>
      <c r="C148" s="17"/>
      <c r="D148" s="18"/>
      <c r="E148" s="16"/>
      <c r="F148" s="17"/>
      <c r="G148" s="17"/>
      <c r="H148" s="17"/>
      <c r="I148" s="17"/>
      <c r="J148" s="18"/>
      <c r="K148" s="16"/>
      <c r="L148" s="17"/>
      <c r="M148" s="17"/>
      <c r="N148" s="17"/>
      <c r="O148" s="17"/>
      <c r="P148" s="18"/>
      <c r="Q148" s="16" t="s">
        <v>560</v>
      </c>
      <c r="R148" s="17"/>
      <c r="S148" s="17"/>
      <c r="T148" s="17"/>
      <c r="U148" s="17"/>
      <c r="V148" s="18"/>
      <c r="W148" s="16"/>
      <c r="X148" s="17"/>
      <c r="Y148" s="17"/>
      <c r="Z148" s="17"/>
      <c r="AA148" s="17"/>
      <c r="AB148" s="18"/>
      <c r="AC148" s="16"/>
      <c r="AD148" s="17"/>
      <c r="AE148" s="17"/>
      <c r="AF148" s="17"/>
      <c r="AG148" s="17"/>
      <c r="AH148" s="17"/>
      <c r="AI148" s="16"/>
      <c r="AJ148" s="17"/>
      <c r="AK148" s="17"/>
      <c r="AL148" s="17"/>
      <c r="AM148" s="17"/>
      <c r="AN148" s="18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8"/>
      <c r="BF148" s="1"/>
    </row>
    <row r="149" spans="1:58" ht="21" customHeight="1">
      <c r="A149" s="1"/>
      <c r="B149" s="16"/>
      <c r="C149" s="17"/>
      <c r="D149" s="18"/>
      <c r="E149" s="16"/>
      <c r="F149" s="17"/>
      <c r="G149" s="17"/>
      <c r="H149" s="17"/>
      <c r="I149" s="17"/>
      <c r="J149" s="18"/>
      <c r="K149" s="16"/>
      <c r="L149" s="17"/>
      <c r="M149" s="17"/>
      <c r="N149" s="17"/>
      <c r="O149" s="17"/>
      <c r="P149" s="18"/>
      <c r="Q149" s="16" t="s">
        <v>561</v>
      </c>
      <c r="R149" s="17"/>
      <c r="S149" s="17"/>
      <c r="T149" s="17"/>
      <c r="U149" s="17"/>
      <c r="V149" s="18"/>
      <c r="W149" s="16"/>
      <c r="X149" s="17"/>
      <c r="Y149" s="17"/>
      <c r="Z149" s="17"/>
      <c r="AA149" s="17"/>
      <c r="AB149" s="18"/>
      <c r="AC149" s="16"/>
      <c r="AD149" s="17"/>
      <c r="AE149" s="17"/>
      <c r="AF149" s="17"/>
      <c r="AG149" s="17"/>
      <c r="AH149" s="17"/>
      <c r="AI149" s="16"/>
      <c r="AJ149" s="17"/>
      <c r="AK149" s="17"/>
      <c r="AL149" s="17"/>
      <c r="AM149" s="17"/>
      <c r="AN149" s="18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8"/>
      <c r="BF149" s="1"/>
    </row>
    <row r="150" spans="1:58" ht="21" customHeight="1">
      <c r="A150" s="1"/>
      <c r="B150" s="16"/>
      <c r="C150" s="17"/>
      <c r="D150" s="18"/>
      <c r="E150" s="16"/>
      <c r="F150" s="17"/>
      <c r="G150" s="17"/>
      <c r="H150" s="17"/>
      <c r="I150" s="17"/>
      <c r="J150" s="18"/>
      <c r="K150" s="16"/>
      <c r="L150" s="17"/>
      <c r="M150" s="17"/>
      <c r="N150" s="17"/>
      <c r="O150" s="17"/>
      <c r="P150" s="18"/>
      <c r="Q150" s="16" t="s">
        <v>562</v>
      </c>
      <c r="R150" s="17"/>
      <c r="S150" s="17"/>
      <c r="T150" s="17"/>
      <c r="U150" s="17"/>
      <c r="V150" s="18"/>
      <c r="W150" s="16"/>
      <c r="X150" s="17"/>
      <c r="Y150" s="17"/>
      <c r="Z150" s="17"/>
      <c r="AA150" s="17"/>
      <c r="AB150" s="18"/>
      <c r="AC150" s="16"/>
      <c r="AD150" s="17"/>
      <c r="AE150" s="17"/>
      <c r="AF150" s="17"/>
      <c r="AG150" s="17"/>
      <c r="AH150" s="17"/>
      <c r="AI150" s="16"/>
      <c r="AJ150" s="17"/>
      <c r="AK150" s="17"/>
      <c r="AL150" s="17"/>
      <c r="AM150" s="17"/>
      <c r="AN150" s="18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8"/>
      <c r="BF150" s="1"/>
    </row>
    <row r="151" spans="1:58" ht="21" customHeight="1">
      <c r="A151" s="1"/>
      <c r="B151" s="16"/>
      <c r="C151" s="17"/>
      <c r="D151" s="18"/>
      <c r="E151" s="16"/>
      <c r="F151" s="17"/>
      <c r="G151" s="17"/>
      <c r="H151" s="17"/>
      <c r="I151" s="17"/>
      <c r="J151" s="18"/>
      <c r="K151" s="16"/>
      <c r="L151" s="17"/>
      <c r="M151" s="17"/>
      <c r="N151" s="17"/>
      <c r="O151" s="17"/>
      <c r="P151" s="18"/>
      <c r="Q151" s="16" t="s">
        <v>563</v>
      </c>
      <c r="R151" s="17"/>
      <c r="S151" s="17"/>
      <c r="T151" s="17"/>
      <c r="U151" s="17"/>
      <c r="V151" s="18"/>
      <c r="W151" s="16"/>
      <c r="X151" s="17"/>
      <c r="Y151" s="17"/>
      <c r="Z151" s="17"/>
      <c r="AA151" s="17"/>
      <c r="AB151" s="18"/>
      <c r="AC151" s="16"/>
      <c r="AD151" s="17"/>
      <c r="AE151" s="17"/>
      <c r="AF151" s="17"/>
      <c r="AG151" s="17"/>
      <c r="AH151" s="17"/>
      <c r="AI151" s="16"/>
      <c r="AJ151" s="17"/>
      <c r="AK151" s="17"/>
      <c r="AL151" s="17"/>
      <c r="AM151" s="17"/>
      <c r="AN151" s="18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8"/>
      <c r="BF151" s="1"/>
    </row>
    <row r="152" spans="1:58" ht="21" customHeight="1">
      <c r="A152" s="1"/>
      <c r="B152" s="16"/>
      <c r="C152" s="17"/>
      <c r="D152" s="18"/>
      <c r="E152" s="16"/>
      <c r="F152" s="17"/>
      <c r="G152" s="17"/>
      <c r="H152" s="17"/>
      <c r="I152" s="17"/>
      <c r="J152" s="18"/>
      <c r="K152" s="16"/>
      <c r="L152" s="17"/>
      <c r="M152" s="17"/>
      <c r="N152" s="17"/>
      <c r="O152" s="17"/>
      <c r="P152" s="18"/>
      <c r="Q152" s="16" t="s">
        <v>564</v>
      </c>
      <c r="R152" s="17"/>
      <c r="S152" s="17"/>
      <c r="T152" s="17"/>
      <c r="U152" s="17"/>
      <c r="V152" s="18"/>
      <c r="W152" s="16"/>
      <c r="X152" s="17"/>
      <c r="Y152" s="17"/>
      <c r="Z152" s="17"/>
      <c r="AA152" s="17"/>
      <c r="AB152" s="18"/>
      <c r="AC152" s="16"/>
      <c r="AD152" s="17"/>
      <c r="AE152" s="17"/>
      <c r="AF152" s="17"/>
      <c r="AG152" s="17"/>
      <c r="AH152" s="17"/>
      <c r="AI152" s="16"/>
      <c r="AJ152" s="17"/>
      <c r="AK152" s="17"/>
      <c r="AL152" s="17"/>
      <c r="AM152" s="17"/>
      <c r="AN152" s="18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8"/>
      <c r="BF152" s="1"/>
    </row>
    <row r="153" spans="1:58" ht="21" customHeight="1">
      <c r="A153" s="1"/>
      <c r="B153" s="16"/>
      <c r="C153" s="17"/>
      <c r="D153" s="18"/>
      <c r="E153" s="16"/>
      <c r="F153" s="17"/>
      <c r="G153" s="17"/>
      <c r="H153" s="17"/>
      <c r="I153" s="17"/>
      <c r="J153" s="18"/>
      <c r="K153" s="16"/>
      <c r="L153" s="17"/>
      <c r="M153" s="17"/>
      <c r="N153" s="17"/>
      <c r="O153" s="17"/>
      <c r="P153" s="18"/>
      <c r="Q153" s="16" t="s">
        <v>565</v>
      </c>
      <c r="R153" s="17"/>
      <c r="S153" s="17"/>
      <c r="T153" s="17"/>
      <c r="U153" s="17"/>
      <c r="V153" s="18"/>
      <c r="W153" s="16"/>
      <c r="X153" s="17"/>
      <c r="Y153" s="17"/>
      <c r="Z153" s="17"/>
      <c r="AA153" s="17"/>
      <c r="AB153" s="18"/>
      <c r="AC153" s="16"/>
      <c r="AD153" s="17"/>
      <c r="AE153" s="17"/>
      <c r="AF153" s="17"/>
      <c r="AG153" s="17"/>
      <c r="AH153" s="17"/>
      <c r="AI153" s="16"/>
      <c r="AJ153" s="17"/>
      <c r="AK153" s="17"/>
      <c r="AL153" s="17"/>
      <c r="AM153" s="17"/>
      <c r="AN153" s="18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8"/>
      <c r="BF153" s="1"/>
    </row>
    <row r="154" spans="1:58" ht="21" customHeight="1">
      <c r="A154" s="1"/>
      <c r="B154" s="16"/>
      <c r="C154" s="17"/>
      <c r="D154" s="18"/>
      <c r="E154" s="16"/>
      <c r="F154" s="17"/>
      <c r="G154" s="17"/>
      <c r="H154" s="17"/>
      <c r="I154" s="17"/>
      <c r="J154" s="18"/>
      <c r="K154" s="16"/>
      <c r="L154" s="17"/>
      <c r="M154" s="17"/>
      <c r="N154" s="17"/>
      <c r="O154" s="17"/>
      <c r="P154" s="18"/>
      <c r="Q154" s="16" t="s">
        <v>566</v>
      </c>
      <c r="R154" s="17"/>
      <c r="S154" s="17"/>
      <c r="T154" s="17"/>
      <c r="U154" s="17"/>
      <c r="V154" s="18"/>
      <c r="W154" s="16"/>
      <c r="X154" s="17"/>
      <c r="Y154" s="17"/>
      <c r="Z154" s="17"/>
      <c r="AA154" s="17"/>
      <c r="AB154" s="18"/>
      <c r="AC154" s="16"/>
      <c r="AD154" s="17"/>
      <c r="AE154" s="17"/>
      <c r="AF154" s="17"/>
      <c r="AG154" s="17"/>
      <c r="AH154" s="17"/>
      <c r="AI154" s="16"/>
      <c r="AJ154" s="17"/>
      <c r="AK154" s="17"/>
      <c r="AL154" s="17"/>
      <c r="AM154" s="17"/>
      <c r="AN154" s="18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8"/>
      <c r="BF154" s="1"/>
    </row>
    <row r="155" spans="1:58" ht="21" customHeight="1">
      <c r="A155" s="1"/>
      <c r="B155" s="16"/>
      <c r="C155" s="17"/>
      <c r="D155" s="18"/>
      <c r="E155" s="16"/>
      <c r="F155" s="17"/>
      <c r="G155" s="17"/>
      <c r="H155" s="17"/>
      <c r="I155" s="17"/>
      <c r="J155" s="18"/>
      <c r="K155" s="16"/>
      <c r="L155" s="17"/>
      <c r="M155" s="17"/>
      <c r="N155" s="17"/>
      <c r="O155" s="17"/>
      <c r="P155" s="18"/>
      <c r="Q155" s="16" t="s">
        <v>567</v>
      </c>
      <c r="R155" s="17"/>
      <c r="S155" s="17"/>
      <c r="T155" s="17"/>
      <c r="U155" s="17"/>
      <c r="V155" s="18"/>
      <c r="W155" s="16"/>
      <c r="X155" s="17"/>
      <c r="Y155" s="17"/>
      <c r="Z155" s="17"/>
      <c r="AA155" s="17"/>
      <c r="AB155" s="18"/>
      <c r="AC155" s="16"/>
      <c r="AD155" s="17"/>
      <c r="AE155" s="17"/>
      <c r="AF155" s="17"/>
      <c r="AG155" s="17"/>
      <c r="AH155" s="17"/>
      <c r="AI155" s="16"/>
      <c r="AJ155" s="17"/>
      <c r="AK155" s="17"/>
      <c r="AL155" s="17"/>
      <c r="AM155" s="17"/>
      <c r="AN155" s="18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8"/>
      <c r="BF155" s="1"/>
    </row>
    <row r="156" spans="1:58" ht="21" customHeight="1">
      <c r="A156" s="1"/>
      <c r="B156" s="16"/>
      <c r="C156" s="17"/>
      <c r="D156" s="18"/>
      <c r="E156" s="16"/>
      <c r="F156" s="17"/>
      <c r="G156" s="17"/>
      <c r="H156" s="17"/>
      <c r="I156" s="17"/>
      <c r="J156" s="18"/>
      <c r="K156" s="16"/>
      <c r="L156" s="17"/>
      <c r="M156" s="17"/>
      <c r="N156" s="17"/>
      <c r="O156" s="17"/>
      <c r="P156" s="18"/>
      <c r="Q156" s="16" t="s">
        <v>568</v>
      </c>
      <c r="R156" s="17"/>
      <c r="S156" s="17"/>
      <c r="T156" s="17"/>
      <c r="U156" s="17"/>
      <c r="V156" s="18"/>
      <c r="W156" s="16"/>
      <c r="X156" s="17"/>
      <c r="Y156" s="17"/>
      <c r="Z156" s="17"/>
      <c r="AA156" s="17"/>
      <c r="AB156" s="18"/>
      <c r="AC156" s="16"/>
      <c r="AD156" s="17"/>
      <c r="AE156" s="17"/>
      <c r="AF156" s="17"/>
      <c r="AG156" s="17"/>
      <c r="AH156" s="17"/>
      <c r="AI156" s="16"/>
      <c r="AJ156" s="17"/>
      <c r="AK156" s="17"/>
      <c r="AL156" s="17"/>
      <c r="AM156" s="17"/>
      <c r="AN156" s="18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8"/>
      <c r="BF156" s="1"/>
    </row>
    <row r="157" spans="1:58" ht="21" customHeight="1">
      <c r="A157" s="1"/>
      <c r="B157" s="16"/>
      <c r="C157" s="17"/>
      <c r="D157" s="18"/>
      <c r="E157" s="16"/>
      <c r="F157" s="17"/>
      <c r="G157" s="17"/>
      <c r="H157" s="17"/>
      <c r="I157" s="17"/>
      <c r="J157" s="18"/>
      <c r="K157" s="16"/>
      <c r="L157" s="17"/>
      <c r="M157" s="17"/>
      <c r="N157" s="17"/>
      <c r="O157" s="17"/>
      <c r="P157" s="18"/>
      <c r="Q157" s="16" t="s">
        <v>569</v>
      </c>
      <c r="R157" s="17"/>
      <c r="S157" s="17"/>
      <c r="T157" s="17"/>
      <c r="U157" s="17"/>
      <c r="V157" s="18"/>
      <c r="W157" s="16"/>
      <c r="X157" s="17"/>
      <c r="Y157" s="17"/>
      <c r="Z157" s="17"/>
      <c r="AA157" s="17"/>
      <c r="AB157" s="18"/>
      <c r="AC157" s="16"/>
      <c r="AD157" s="17"/>
      <c r="AE157" s="17"/>
      <c r="AF157" s="17"/>
      <c r="AG157" s="17"/>
      <c r="AH157" s="17"/>
      <c r="AI157" s="16"/>
      <c r="AJ157" s="17"/>
      <c r="AK157" s="17"/>
      <c r="AL157" s="17"/>
      <c r="AM157" s="17"/>
      <c r="AN157" s="18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8"/>
      <c r="BF157" s="1"/>
    </row>
    <row r="158" spans="1:58" ht="21" customHeight="1">
      <c r="A158" s="1"/>
      <c r="B158" s="16"/>
      <c r="C158" s="17"/>
      <c r="D158" s="18"/>
      <c r="E158" s="16"/>
      <c r="F158" s="17"/>
      <c r="G158" s="17"/>
      <c r="H158" s="17"/>
      <c r="I158" s="17"/>
      <c r="J158" s="18"/>
      <c r="K158" s="16"/>
      <c r="L158" s="17"/>
      <c r="M158" s="17"/>
      <c r="N158" s="17"/>
      <c r="O158" s="17"/>
      <c r="P158" s="18"/>
      <c r="Q158" s="16" t="s">
        <v>570</v>
      </c>
      <c r="R158" s="17"/>
      <c r="S158" s="17"/>
      <c r="T158" s="17"/>
      <c r="U158" s="17"/>
      <c r="V158" s="18"/>
      <c r="W158" s="16"/>
      <c r="X158" s="17"/>
      <c r="Y158" s="17"/>
      <c r="Z158" s="17"/>
      <c r="AA158" s="17"/>
      <c r="AB158" s="18"/>
      <c r="AC158" s="16"/>
      <c r="AD158" s="17"/>
      <c r="AE158" s="17"/>
      <c r="AF158" s="17"/>
      <c r="AG158" s="17"/>
      <c r="AH158" s="17"/>
      <c r="AI158" s="16"/>
      <c r="AJ158" s="17"/>
      <c r="AK158" s="17"/>
      <c r="AL158" s="17"/>
      <c r="AM158" s="17"/>
      <c r="AN158" s="18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8"/>
      <c r="BF158" s="1"/>
    </row>
    <row r="159" spans="1:58" ht="21" customHeight="1">
      <c r="A159" s="1"/>
      <c r="B159" s="16"/>
      <c r="C159" s="17"/>
      <c r="D159" s="18"/>
      <c r="E159" s="16"/>
      <c r="F159" s="17"/>
      <c r="G159" s="17"/>
      <c r="H159" s="17"/>
      <c r="I159" s="17"/>
      <c r="J159" s="18"/>
      <c r="K159" s="16"/>
      <c r="L159" s="17"/>
      <c r="M159" s="17"/>
      <c r="N159" s="17"/>
      <c r="O159" s="17"/>
      <c r="P159" s="18"/>
      <c r="Q159" s="16" t="s">
        <v>571</v>
      </c>
      <c r="R159" s="17"/>
      <c r="S159" s="17"/>
      <c r="T159" s="17"/>
      <c r="U159" s="17"/>
      <c r="V159" s="18"/>
      <c r="W159" s="16"/>
      <c r="X159" s="17"/>
      <c r="Y159" s="17"/>
      <c r="Z159" s="17"/>
      <c r="AA159" s="17"/>
      <c r="AB159" s="18"/>
      <c r="AC159" s="16"/>
      <c r="AD159" s="17"/>
      <c r="AE159" s="17"/>
      <c r="AF159" s="17"/>
      <c r="AG159" s="17"/>
      <c r="AH159" s="17"/>
      <c r="AI159" s="16"/>
      <c r="AJ159" s="17"/>
      <c r="AK159" s="17"/>
      <c r="AL159" s="17"/>
      <c r="AM159" s="17"/>
      <c r="AN159" s="18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8"/>
      <c r="BF159" s="1"/>
    </row>
    <row r="160" spans="1:58" ht="21" customHeight="1">
      <c r="A160" s="1"/>
      <c r="B160" s="16"/>
      <c r="C160" s="17"/>
      <c r="D160" s="18"/>
      <c r="E160" s="16"/>
      <c r="F160" s="17"/>
      <c r="G160" s="17"/>
      <c r="H160" s="17"/>
      <c r="I160" s="17"/>
      <c r="J160" s="18"/>
      <c r="K160" s="16"/>
      <c r="L160" s="17"/>
      <c r="M160" s="17"/>
      <c r="N160" s="17"/>
      <c r="O160" s="17"/>
      <c r="P160" s="18"/>
      <c r="Q160" s="16" t="s">
        <v>572</v>
      </c>
      <c r="R160" s="17"/>
      <c r="S160" s="17"/>
      <c r="T160" s="17"/>
      <c r="U160" s="17"/>
      <c r="V160" s="18"/>
      <c r="W160" s="16"/>
      <c r="X160" s="17"/>
      <c r="Y160" s="17"/>
      <c r="Z160" s="17"/>
      <c r="AA160" s="17"/>
      <c r="AB160" s="18"/>
      <c r="AC160" s="16"/>
      <c r="AD160" s="17"/>
      <c r="AE160" s="17"/>
      <c r="AF160" s="17"/>
      <c r="AG160" s="17"/>
      <c r="AH160" s="17"/>
      <c r="AI160" s="16"/>
      <c r="AJ160" s="17"/>
      <c r="AK160" s="17"/>
      <c r="AL160" s="17"/>
      <c r="AM160" s="17"/>
      <c r="AN160" s="18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8"/>
      <c r="BF160" s="1"/>
    </row>
    <row r="161" spans="1:58" ht="21" customHeight="1">
      <c r="A161" s="1"/>
      <c r="B161" s="16"/>
      <c r="C161" s="17"/>
      <c r="D161" s="18"/>
      <c r="E161" s="16"/>
      <c r="F161" s="17"/>
      <c r="G161" s="17"/>
      <c r="H161" s="17"/>
      <c r="I161" s="17"/>
      <c r="J161" s="18"/>
      <c r="K161" s="16"/>
      <c r="L161" s="17"/>
      <c r="M161" s="17"/>
      <c r="N161" s="17"/>
      <c r="O161" s="17"/>
      <c r="P161" s="18"/>
      <c r="Q161" s="16" t="s">
        <v>573</v>
      </c>
      <c r="R161" s="17"/>
      <c r="S161" s="17"/>
      <c r="T161" s="17"/>
      <c r="U161" s="17"/>
      <c r="V161" s="18"/>
      <c r="W161" s="16"/>
      <c r="X161" s="17"/>
      <c r="Y161" s="17"/>
      <c r="Z161" s="17"/>
      <c r="AA161" s="17"/>
      <c r="AB161" s="18"/>
      <c r="AC161" s="16"/>
      <c r="AD161" s="17"/>
      <c r="AE161" s="17"/>
      <c r="AF161" s="17"/>
      <c r="AG161" s="17"/>
      <c r="AH161" s="17"/>
      <c r="AI161" s="16"/>
      <c r="AJ161" s="17"/>
      <c r="AK161" s="17"/>
      <c r="AL161" s="17"/>
      <c r="AM161" s="17"/>
      <c r="AN161" s="18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8"/>
      <c r="BF161" s="1"/>
    </row>
    <row r="162" spans="1:58" ht="21" customHeight="1">
      <c r="A162" s="1"/>
      <c r="B162" s="16"/>
      <c r="C162" s="17"/>
      <c r="D162" s="18"/>
      <c r="E162" s="16"/>
      <c r="F162" s="17"/>
      <c r="G162" s="17"/>
      <c r="H162" s="17"/>
      <c r="I162" s="17"/>
      <c r="J162" s="18"/>
      <c r="K162" s="16"/>
      <c r="L162" s="17"/>
      <c r="M162" s="17"/>
      <c r="N162" s="17"/>
      <c r="O162" s="17"/>
      <c r="P162" s="18"/>
      <c r="Q162" s="16" t="s">
        <v>574</v>
      </c>
      <c r="R162" s="17"/>
      <c r="S162" s="17"/>
      <c r="T162" s="17"/>
      <c r="U162" s="17"/>
      <c r="V162" s="18"/>
      <c r="W162" s="16"/>
      <c r="X162" s="17"/>
      <c r="Y162" s="17"/>
      <c r="Z162" s="17"/>
      <c r="AA162" s="17"/>
      <c r="AB162" s="18"/>
      <c r="AC162" s="16"/>
      <c r="AD162" s="17"/>
      <c r="AE162" s="17"/>
      <c r="AF162" s="17"/>
      <c r="AG162" s="17"/>
      <c r="AH162" s="17"/>
      <c r="AI162" s="16"/>
      <c r="AJ162" s="17"/>
      <c r="AK162" s="17"/>
      <c r="AL162" s="17"/>
      <c r="AM162" s="17"/>
      <c r="AN162" s="18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8"/>
      <c r="BF162" s="1"/>
    </row>
    <row r="163" spans="1:58" ht="21" customHeight="1">
      <c r="A163" s="1"/>
      <c r="B163" s="16"/>
      <c r="C163" s="17"/>
      <c r="D163" s="18"/>
      <c r="E163" s="16"/>
      <c r="F163" s="17"/>
      <c r="G163" s="17"/>
      <c r="H163" s="17"/>
      <c r="I163" s="17"/>
      <c r="J163" s="18"/>
      <c r="K163" s="16"/>
      <c r="L163" s="17"/>
      <c r="M163" s="17"/>
      <c r="N163" s="17"/>
      <c r="O163" s="17"/>
      <c r="P163" s="18"/>
      <c r="Q163" s="16" t="s">
        <v>575</v>
      </c>
      <c r="R163" s="17"/>
      <c r="S163" s="17"/>
      <c r="T163" s="17"/>
      <c r="U163" s="17"/>
      <c r="V163" s="18"/>
      <c r="W163" s="16"/>
      <c r="X163" s="17"/>
      <c r="Y163" s="17"/>
      <c r="Z163" s="17"/>
      <c r="AA163" s="17"/>
      <c r="AB163" s="18"/>
      <c r="AC163" s="16"/>
      <c r="AD163" s="17"/>
      <c r="AE163" s="17"/>
      <c r="AF163" s="17"/>
      <c r="AG163" s="17"/>
      <c r="AH163" s="17"/>
      <c r="AI163" s="16"/>
      <c r="AJ163" s="17"/>
      <c r="AK163" s="17"/>
      <c r="AL163" s="17"/>
      <c r="AM163" s="17"/>
      <c r="AN163" s="18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8"/>
      <c r="BF163" s="1"/>
    </row>
    <row r="164" spans="1:58" ht="21" customHeight="1">
      <c r="A164" s="1"/>
      <c r="B164" s="44"/>
      <c r="C164" s="45"/>
      <c r="D164" s="46"/>
      <c r="E164" s="44"/>
      <c r="F164" s="45"/>
      <c r="G164" s="45"/>
      <c r="H164" s="45"/>
      <c r="I164" s="45"/>
      <c r="J164" s="46"/>
      <c r="K164" s="44"/>
      <c r="L164" s="45"/>
      <c r="M164" s="45"/>
      <c r="N164" s="45"/>
      <c r="O164" s="45"/>
      <c r="P164" s="46"/>
      <c r="Q164" s="44" t="s">
        <v>576</v>
      </c>
      <c r="R164" s="45"/>
      <c r="S164" s="45"/>
      <c r="T164" s="45"/>
      <c r="U164" s="45"/>
      <c r="V164" s="46"/>
      <c r="W164" s="44"/>
      <c r="X164" s="45"/>
      <c r="Y164" s="45"/>
      <c r="Z164" s="45"/>
      <c r="AA164" s="45"/>
      <c r="AB164" s="46"/>
      <c r="AC164" s="44"/>
      <c r="AD164" s="45"/>
      <c r="AE164" s="45"/>
      <c r="AF164" s="45"/>
      <c r="AG164" s="45"/>
      <c r="AH164" s="45"/>
      <c r="AI164" s="44"/>
      <c r="AJ164" s="45"/>
      <c r="AK164" s="45"/>
      <c r="AL164" s="45"/>
      <c r="AM164" s="45"/>
      <c r="AN164" s="46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6"/>
      <c r="BF164" s="1"/>
    </row>
    <row r="165" spans="1:58" ht="21" customHeight="1">
      <c r="A165" s="1"/>
      <c r="B165" s="13" t="s">
        <v>602</v>
      </c>
      <c r="C165" s="14"/>
      <c r="D165" s="15"/>
      <c r="E165" s="13" t="s">
        <v>603</v>
      </c>
      <c r="F165" s="14"/>
      <c r="G165" s="14"/>
      <c r="H165" s="14"/>
      <c r="I165" s="14"/>
      <c r="J165" s="15"/>
      <c r="K165" s="13"/>
      <c r="L165" s="14"/>
      <c r="M165" s="14"/>
      <c r="N165" s="14"/>
      <c r="O165" s="14"/>
      <c r="P165" s="15"/>
      <c r="Q165" s="13" t="s">
        <v>604</v>
      </c>
      <c r="R165" s="14"/>
      <c r="S165" s="14"/>
      <c r="T165" s="14"/>
      <c r="U165" s="14"/>
      <c r="V165" s="15"/>
      <c r="W165" s="13"/>
      <c r="X165" s="14"/>
      <c r="Y165" s="14"/>
      <c r="Z165" s="14"/>
      <c r="AA165" s="14"/>
      <c r="AB165" s="15"/>
      <c r="AC165" s="13" t="s">
        <v>599</v>
      </c>
      <c r="AD165" s="14"/>
      <c r="AE165" s="14"/>
      <c r="AF165" s="14"/>
      <c r="AG165" s="14"/>
      <c r="AH165" s="14"/>
      <c r="AI165" s="13" t="s">
        <v>600</v>
      </c>
      <c r="AJ165" s="14"/>
      <c r="AK165" s="14"/>
      <c r="AL165" s="14"/>
      <c r="AM165" s="14"/>
      <c r="AN165" s="15"/>
      <c r="AO165" s="14" t="s">
        <v>601</v>
      </c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5"/>
      <c r="BF165" s="1"/>
    </row>
    <row r="166" spans="1:58" ht="21" customHeight="1">
      <c r="A166" s="1"/>
      <c r="B166" s="47"/>
      <c r="C166" s="48"/>
      <c r="D166" s="49"/>
      <c r="E166" s="47"/>
      <c r="F166" s="48"/>
      <c r="G166" s="48"/>
      <c r="H166" s="48"/>
      <c r="I166" s="48"/>
      <c r="J166" s="49"/>
      <c r="K166" s="47"/>
      <c r="L166" s="48"/>
      <c r="M166" s="48"/>
      <c r="N166" s="48"/>
      <c r="O166" s="48"/>
      <c r="P166" s="49"/>
      <c r="Q166" s="47"/>
      <c r="R166" s="48"/>
      <c r="S166" s="48"/>
      <c r="T166" s="48"/>
      <c r="U166" s="48"/>
      <c r="V166" s="49"/>
      <c r="W166" s="47"/>
      <c r="X166" s="48"/>
      <c r="Y166" s="48"/>
      <c r="Z166" s="48"/>
      <c r="AA166" s="48"/>
      <c r="AB166" s="49"/>
      <c r="AC166" s="47"/>
      <c r="AD166" s="48"/>
      <c r="AE166" s="48"/>
      <c r="AF166" s="48"/>
      <c r="AG166" s="48"/>
      <c r="AH166" s="48"/>
      <c r="AI166" s="47"/>
      <c r="AJ166" s="48"/>
      <c r="AK166" s="48"/>
      <c r="AL166" s="48"/>
      <c r="AM166" s="48"/>
      <c r="AN166" s="49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9"/>
      <c r="BF166" s="1"/>
    </row>
    <row r="167" spans="1:58" ht="21" customHeight="1">
      <c r="A167" s="1"/>
      <c r="B167" s="13" t="s">
        <v>659</v>
      </c>
      <c r="C167" s="14"/>
      <c r="D167" s="15"/>
      <c r="E167" s="13" t="s">
        <v>660</v>
      </c>
      <c r="F167" s="14"/>
      <c r="G167" s="14"/>
      <c r="H167" s="14"/>
      <c r="I167" s="14"/>
      <c r="J167" s="15"/>
      <c r="K167" s="13"/>
      <c r="L167" s="14"/>
      <c r="M167" s="14"/>
      <c r="N167" s="14"/>
      <c r="O167" s="14"/>
      <c r="P167" s="15"/>
      <c r="Q167" s="13" t="s">
        <v>539</v>
      </c>
      <c r="R167" s="14"/>
      <c r="S167" s="14"/>
      <c r="T167" s="14"/>
      <c r="U167" s="14"/>
      <c r="V167" s="15"/>
      <c r="W167" s="13"/>
      <c r="X167" s="14"/>
      <c r="Y167" s="14"/>
      <c r="Z167" s="14"/>
      <c r="AA167" s="14"/>
      <c r="AB167" s="15"/>
      <c r="AC167" s="13" t="s">
        <v>658</v>
      </c>
      <c r="AD167" s="14"/>
      <c r="AE167" s="14"/>
      <c r="AF167" s="14"/>
      <c r="AG167" s="14"/>
      <c r="AH167" s="14"/>
      <c r="AI167" s="13" t="s">
        <v>657</v>
      </c>
      <c r="AJ167" s="14"/>
      <c r="AK167" s="14"/>
      <c r="AL167" s="14"/>
      <c r="AM167" s="14"/>
      <c r="AN167" s="15"/>
      <c r="AO167" s="14" t="s">
        <v>661</v>
      </c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5"/>
      <c r="BF167" s="1"/>
    </row>
    <row r="168" spans="1:58" ht="21" customHeight="1">
      <c r="A168" s="1"/>
      <c r="B168" s="16"/>
      <c r="C168" s="17"/>
      <c r="D168" s="18"/>
      <c r="E168" s="16"/>
      <c r="F168" s="17"/>
      <c r="G168" s="17"/>
      <c r="H168" s="17"/>
      <c r="I168" s="17"/>
      <c r="J168" s="18"/>
      <c r="K168" s="16"/>
      <c r="L168" s="17"/>
      <c r="M168" s="17"/>
      <c r="N168" s="17"/>
      <c r="O168" s="17"/>
      <c r="P168" s="18"/>
      <c r="Q168" s="16" t="s">
        <v>540</v>
      </c>
      <c r="R168" s="17"/>
      <c r="S168" s="17"/>
      <c r="T168" s="17"/>
      <c r="U168" s="17"/>
      <c r="V168" s="18"/>
      <c r="W168" s="16"/>
      <c r="X168" s="17"/>
      <c r="Y168" s="17"/>
      <c r="Z168" s="17"/>
      <c r="AA168" s="17"/>
      <c r="AB168" s="18"/>
      <c r="AC168" s="16"/>
      <c r="AD168" s="17"/>
      <c r="AE168" s="17"/>
      <c r="AF168" s="17"/>
      <c r="AG168" s="17"/>
      <c r="AH168" s="17"/>
      <c r="AI168" s="16"/>
      <c r="AJ168" s="17"/>
      <c r="AK168" s="17"/>
      <c r="AL168" s="17"/>
      <c r="AM168" s="17"/>
      <c r="AN168" s="18"/>
      <c r="AO168" s="17" t="s">
        <v>667</v>
      </c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8"/>
      <c r="BF168" s="1"/>
    </row>
    <row r="169" spans="1:58" ht="21" customHeight="1">
      <c r="A169" s="1"/>
      <c r="B169" s="16"/>
      <c r="C169" s="17"/>
      <c r="D169" s="18"/>
      <c r="E169" s="16"/>
      <c r="F169" s="17"/>
      <c r="G169" s="17"/>
      <c r="H169" s="17"/>
      <c r="I169" s="17"/>
      <c r="J169" s="18"/>
      <c r="K169" s="16"/>
      <c r="L169" s="17"/>
      <c r="M169" s="17"/>
      <c r="N169" s="17"/>
      <c r="O169" s="17"/>
      <c r="P169" s="18"/>
      <c r="Q169" s="16" t="s">
        <v>541</v>
      </c>
      <c r="R169" s="17"/>
      <c r="S169" s="17"/>
      <c r="T169" s="17"/>
      <c r="U169" s="17"/>
      <c r="V169" s="18"/>
      <c r="W169" s="16"/>
      <c r="X169" s="17"/>
      <c r="Y169" s="17"/>
      <c r="Z169" s="17"/>
      <c r="AA169" s="17"/>
      <c r="AB169" s="18"/>
      <c r="AC169" s="16"/>
      <c r="AD169" s="17"/>
      <c r="AE169" s="17"/>
      <c r="AF169" s="17"/>
      <c r="AG169" s="17"/>
      <c r="AH169" s="17"/>
      <c r="AI169" s="16"/>
      <c r="AJ169" s="17"/>
      <c r="AK169" s="17"/>
      <c r="AL169" s="17"/>
      <c r="AM169" s="17"/>
      <c r="AN169" s="18"/>
      <c r="AO169" s="17" t="s">
        <v>662</v>
      </c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8"/>
      <c r="BF169" s="1"/>
    </row>
    <row r="170" spans="1:58" ht="21" customHeight="1">
      <c r="A170" s="1"/>
      <c r="B170" s="16"/>
      <c r="C170" s="17"/>
      <c r="D170" s="18"/>
      <c r="E170" s="16"/>
      <c r="F170" s="17"/>
      <c r="G170" s="17"/>
      <c r="H170" s="17"/>
      <c r="I170" s="17"/>
      <c r="J170" s="18"/>
      <c r="K170" s="16"/>
      <c r="L170" s="17"/>
      <c r="M170" s="17"/>
      <c r="N170" s="17"/>
      <c r="O170" s="17"/>
      <c r="P170" s="18"/>
      <c r="Q170" s="16" t="s">
        <v>531</v>
      </c>
      <c r="R170" s="17"/>
      <c r="S170" s="17"/>
      <c r="T170" s="17"/>
      <c r="U170" s="17"/>
      <c r="V170" s="18"/>
      <c r="W170" s="16"/>
      <c r="X170" s="17"/>
      <c r="Y170" s="17"/>
      <c r="Z170" s="17"/>
      <c r="AA170" s="17"/>
      <c r="AB170" s="18"/>
      <c r="AC170" s="16"/>
      <c r="AD170" s="17"/>
      <c r="AE170" s="17"/>
      <c r="AF170" s="17"/>
      <c r="AG170" s="17"/>
      <c r="AH170" s="17"/>
      <c r="AI170" s="16"/>
      <c r="AJ170" s="17"/>
      <c r="AK170" s="17"/>
      <c r="AL170" s="17"/>
      <c r="AM170" s="17"/>
      <c r="AN170" s="18"/>
      <c r="AO170" s="17" t="s">
        <v>663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8"/>
      <c r="BF170" s="1"/>
    </row>
    <row r="171" spans="1:58" ht="21" customHeight="1">
      <c r="A171" s="1"/>
      <c r="B171" s="16"/>
      <c r="C171" s="17"/>
      <c r="D171" s="18"/>
      <c r="E171" s="16"/>
      <c r="F171" s="17"/>
      <c r="G171" s="17"/>
      <c r="H171" s="17"/>
      <c r="I171" s="17"/>
      <c r="J171" s="18"/>
      <c r="K171" s="16"/>
      <c r="L171" s="17"/>
      <c r="M171" s="17"/>
      <c r="N171" s="17"/>
      <c r="O171" s="17"/>
      <c r="P171" s="18"/>
      <c r="Q171" s="16" t="s">
        <v>542</v>
      </c>
      <c r="R171" s="17"/>
      <c r="S171" s="17"/>
      <c r="T171" s="17"/>
      <c r="U171" s="17"/>
      <c r="V171" s="18"/>
      <c r="W171" s="16"/>
      <c r="X171" s="17"/>
      <c r="Y171" s="17"/>
      <c r="Z171" s="17"/>
      <c r="AA171" s="17"/>
      <c r="AB171" s="18"/>
      <c r="AC171" s="16"/>
      <c r="AD171" s="17"/>
      <c r="AE171" s="17"/>
      <c r="AF171" s="17"/>
      <c r="AG171" s="17"/>
      <c r="AH171" s="17"/>
      <c r="AI171" s="16"/>
      <c r="AJ171" s="17"/>
      <c r="AK171" s="17"/>
      <c r="AL171" s="17"/>
      <c r="AM171" s="17"/>
      <c r="AN171" s="18"/>
      <c r="AO171" s="17" t="s">
        <v>664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8"/>
      <c r="BF171" s="1"/>
    </row>
    <row r="172" spans="1:58" ht="21" customHeight="1">
      <c r="A172" s="1"/>
      <c r="B172" s="16"/>
      <c r="C172" s="17"/>
      <c r="D172" s="18"/>
      <c r="E172" s="16"/>
      <c r="F172" s="17"/>
      <c r="G172" s="17"/>
      <c r="H172" s="17"/>
      <c r="I172" s="17"/>
      <c r="J172" s="18"/>
      <c r="K172" s="16"/>
      <c r="L172" s="17"/>
      <c r="M172" s="17"/>
      <c r="N172" s="17"/>
      <c r="O172" s="17"/>
      <c r="P172" s="18"/>
      <c r="Q172" s="16" t="s">
        <v>543</v>
      </c>
      <c r="R172" s="17"/>
      <c r="S172" s="17"/>
      <c r="T172" s="17"/>
      <c r="U172" s="17"/>
      <c r="V172" s="18"/>
      <c r="W172" s="16"/>
      <c r="X172" s="17"/>
      <c r="Y172" s="17"/>
      <c r="Z172" s="17"/>
      <c r="AA172" s="17"/>
      <c r="AB172" s="18"/>
      <c r="AC172" s="16"/>
      <c r="AD172" s="17"/>
      <c r="AE172" s="17"/>
      <c r="AF172" s="17"/>
      <c r="AG172" s="17"/>
      <c r="AH172" s="17"/>
      <c r="AI172" s="16"/>
      <c r="AJ172" s="17"/>
      <c r="AK172" s="17"/>
      <c r="AL172" s="17"/>
      <c r="AM172" s="17"/>
      <c r="AN172" s="18"/>
      <c r="AO172" s="17" t="s">
        <v>665</v>
      </c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8"/>
      <c r="BF172" s="1"/>
    </row>
    <row r="173" spans="1:58" ht="21" customHeight="1">
      <c r="A173" s="1"/>
      <c r="B173" s="16"/>
      <c r="C173" s="17"/>
      <c r="D173" s="18"/>
      <c r="E173" s="16"/>
      <c r="F173" s="17"/>
      <c r="G173" s="17"/>
      <c r="H173" s="17"/>
      <c r="I173" s="17"/>
      <c r="J173" s="18"/>
      <c r="K173" s="16"/>
      <c r="L173" s="17"/>
      <c r="M173" s="17"/>
      <c r="N173" s="17"/>
      <c r="O173" s="17"/>
      <c r="P173" s="18"/>
      <c r="Q173" s="16" t="s">
        <v>544</v>
      </c>
      <c r="R173" s="17"/>
      <c r="S173" s="17"/>
      <c r="T173" s="17"/>
      <c r="U173" s="17"/>
      <c r="V173" s="18"/>
      <c r="W173" s="16"/>
      <c r="X173" s="17"/>
      <c r="Y173" s="17"/>
      <c r="Z173" s="17"/>
      <c r="AA173" s="17"/>
      <c r="AB173" s="18"/>
      <c r="AC173" s="16"/>
      <c r="AD173" s="17"/>
      <c r="AE173" s="17"/>
      <c r="AF173" s="17"/>
      <c r="AG173" s="17"/>
      <c r="AH173" s="17"/>
      <c r="AI173" s="16"/>
      <c r="AJ173" s="17"/>
      <c r="AK173" s="17"/>
      <c r="AL173" s="17"/>
      <c r="AM173" s="17"/>
      <c r="AN173" s="18"/>
      <c r="AO173" s="17" t="s">
        <v>666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8"/>
      <c r="BF173" s="1"/>
    </row>
    <row r="174" spans="1:58" ht="21" customHeight="1">
      <c r="A174" s="1"/>
      <c r="B174" s="16"/>
      <c r="C174" s="17"/>
      <c r="D174" s="18"/>
      <c r="E174" s="16"/>
      <c r="F174" s="17"/>
      <c r="G174" s="17"/>
      <c r="H174" s="17"/>
      <c r="I174" s="17"/>
      <c r="J174" s="18"/>
      <c r="K174" s="16"/>
      <c r="L174" s="17"/>
      <c r="M174" s="17"/>
      <c r="N174" s="17"/>
      <c r="O174" s="17"/>
      <c r="P174" s="18"/>
      <c r="Q174" s="16" t="s">
        <v>545</v>
      </c>
      <c r="R174" s="17"/>
      <c r="S174" s="17"/>
      <c r="T174" s="17"/>
      <c r="U174" s="17"/>
      <c r="V174" s="18"/>
      <c r="W174" s="16"/>
      <c r="X174" s="17"/>
      <c r="Y174" s="17"/>
      <c r="Z174" s="17"/>
      <c r="AA174" s="17"/>
      <c r="AB174" s="18"/>
      <c r="AC174" s="16"/>
      <c r="AD174" s="17"/>
      <c r="AE174" s="17"/>
      <c r="AF174" s="17"/>
      <c r="AG174" s="17"/>
      <c r="AH174" s="17"/>
      <c r="AI174" s="16"/>
      <c r="AJ174" s="17"/>
      <c r="AK174" s="17"/>
      <c r="AL174" s="17"/>
      <c r="AM174" s="17"/>
      <c r="AN174" s="18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8"/>
      <c r="BF174" s="1"/>
    </row>
    <row r="175" spans="1:58" ht="21" customHeight="1">
      <c r="A175" s="1"/>
      <c r="B175" s="16"/>
      <c r="C175" s="17"/>
      <c r="D175" s="18"/>
      <c r="E175" s="16"/>
      <c r="F175" s="17"/>
      <c r="G175" s="17"/>
      <c r="H175" s="17"/>
      <c r="I175" s="17"/>
      <c r="J175" s="18"/>
      <c r="K175" s="17"/>
      <c r="L175" s="8"/>
      <c r="M175" s="17"/>
      <c r="N175" s="17"/>
      <c r="O175" s="17"/>
      <c r="P175" s="18"/>
      <c r="Q175" s="16" t="s">
        <v>546</v>
      </c>
      <c r="R175" s="17"/>
      <c r="S175" s="17"/>
      <c r="T175" s="17"/>
      <c r="U175" s="17"/>
      <c r="V175" s="18"/>
      <c r="W175" s="16"/>
      <c r="X175" s="17"/>
      <c r="Y175" s="17"/>
      <c r="Z175" s="17"/>
      <c r="AA175" s="17"/>
      <c r="AB175" s="18"/>
      <c r="AC175" s="16"/>
      <c r="AD175" s="17"/>
      <c r="AE175" s="17"/>
      <c r="AF175" s="17"/>
      <c r="AG175" s="17"/>
      <c r="AH175" s="17"/>
      <c r="AI175" s="16"/>
      <c r="AJ175" s="17"/>
      <c r="AK175" s="17"/>
      <c r="AL175" s="17"/>
      <c r="AM175" s="17"/>
      <c r="AN175" s="18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8"/>
      <c r="BF175" s="1"/>
    </row>
    <row r="176" spans="1:58" ht="21" customHeight="1">
      <c r="A176" s="1"/>
      <c r="B176" s="16"/>
      <c r="C176" s="17"/>
      <c r="D176" s="18"/>
      <c r="E176" s="16"/>
      <c r="F176" s="17"/>
      <c r="G176" s="17"/>
      <c r="H176" s="17"/>
      <c r="I176" s="17"/>
      <c r="J176" s="18"/>
      <c r="K176" s="16"/>
      <c r="L176" s="17"/>
      <c r="M176" s="17"/>
      <c r="N176" s="17"/>
      <c r="O176" s="17"/>
      <c r="P176" s="18"/>
      <c r="Q176" s="16" t="s">
        <v>547</v>
      </c>
      <c r="R176" s="17"/>
      <c r="S176" s="17"/>
      <c r="T176" s="17"/>
      <c r="U176" s="17"/>
      <c r="V176" s="18"/>
      <c r="W176" s="16"/>
      <c r="X176" s="17"/>
      <c r="Y176" s="17"/>
      <c r="Z176" s="17"/>
      <c r="AA176" s="17"/>
      <c r="AB176" s="18"/>
      <c r="AC176" s="16"/>
      <c r="AD176" s="17"/>
      <c r="AE176" s="17"/>
      <c r="AF176" s="17"/>
      <c r="AG176" s="17"/>
      <c r="AH176" s="17"/>
      <c r="AI176" s="16"/>
      <c r="AJ176" s="17"/>
      <c r="AK176" s="17"/>
      <c r="AL176" s="17"/>
      <c r="AM176" s="17"/>
      <c r="AN176" s="18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8"/>
      <c r="BF176" s="1"/>
    </row>
    <row r="177" spans="1:58" ht="21" customHeight="1">
      <c r="A177" s="1"/>
      <c r="B177" s="16"/>
      <c r="C177" s="17"/>
      <c r="D177" s="18"/>
      <c r="E177" s="16"/>
      <c r="F177" s="17"/>
      <c r="G177" s="17"/>
      <c r="H177" s="17"/>
      <c r="I177" s="17"/>
      <c r="J177" s="18"/>
      <c r="K177" s="16"/>
      <c r="L177" s="17"/>
      <c r="M177" s="17"/>
      <c r="N177" s="17"/>
      <c r="O177" s="17"/>
      <c r="P177" s="18"/>
      <c r="Q177" s="16" t="s">
        <v>548</v>
      </c>
      <c r="R177" s="17"/>
      <c r="S177" s="17"/>
      <c r="T177" s="17"/>
      <c r="U177" s="17"/>
      <c r="V177" s="18"/>
      <c r="W177" s="16"/>
      <c r="X177" s="17"/>
      <c r="Y177" s="17"/>
      <c r="Z177" s="17"/>
      <c r="AA177" s="17"/>
      <c r="AB177" s="18"/>
      <c r="AC177" s="16"/>
      <c r="AD177" s="17"/>
      <c r="AE177" s="17"/>
      <c r="AF177" s="17"/>
      <c r="AG177" s="17"/>
      <c r="AH177" s="17"/>
      <c r="AI177" s="16"/>
      <c r="AJ177" s="17"/>
      <c r="AK177" s="17"/>
      <c r="AL177" s="17"/>
      <c r="AM177" s="17"/>
      <c r="AN177" s="18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8"/>
      <c r="BF177" s="1"/>
    </row>
    <row r="178" spans="1:58" ht="21" customHeight="1">
      <c r="A178" s="1"/>
      <c r="B178" s="16"/>
      <c r="C178" s="17"/>
      <c r="D178" s="18"/>
      <c r="E178" s="16"/>
      <c r="F178" s="17"/>
      <c r="G178" s="17"/>
      <c r="H178" s="17"/>
      <c r="I178" s="17"/>
      <c r="J178" s="18"/>
      <c r="K178" s="16"/>
      <c r="L178" s="17"/>
      <c r="M178" s="17"/>
      <c r="N178" s="17"/>
      <c r="O178" s="17"/>
      <c r="P178" s="18"/>
      <c r="Q178" s="16" t="s">
        <v>549</v>
      </c>
      <c r="R178" s="17"/>
      <c r="S178" s="17"/>
      <c r="T178" s="17"/>
      <c r="U178" s="17"/>
      <c r="V178" s="18"/>
      <c r="W178" s="16"/>
      <c r="X178" s="17"/>
      <c r="Y178" s="17"/>
      <c r="Z178" s="17"/>
      <c r="AA178" s="17"/>
      <c r="AB178" s="18"/>
      <c r="AC178" s="16"/>
      <c r="AD178" s="17"/>
      <c r="AE178" s="17"/>
      <c r="AF178" s="17"/>
      <c r="AG178" s="17"/>
      <c r="AH178" s="17"/>
      <c r="AI178" s="16"/>
      <c r="AJ178" s="17"/>
      <c r="AK178" s="17"/>
      <c r="AL178" s="17"/>
      <c r="AM178" s="17"/>
      <c r="AN178" s="18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8"/>
      <c r="BF178" s="1"/>
    </row>
    <row r="179" spans="1:58" ht="21" customHeight="1">
      <c r="A179" s="1"/>
      <c r="B179" s="16"/>
      <c r="C179" s="17"/>
      <c r="D179" s="18"/>
      <c r="E179" s="16"/>
      <c r="F179" s="17"/>
      <c r="G179" s="17"/>
      <c r="H179" s="17"/>
      <c r="I179" s="17"/>
      <c r="J179" s="18"/>
      <c r="K179" s="16"/>
      <c r="L179" s="17"/>
      <c r="M179" s="17"/>
      <c r="N179" s="17"/>
      <c r="O179" s="17"/>
      <c r="P179" s="18"/>
      <c r="Q179" s="16" t="s">
        <v>550</v>
      </c>
      <c r="R179" s="17"/>
      <c r="S179" s="17"/>
      <c r="T179" s="17"/>
      <c r="U179" s="17"/>
      <c r="V179" s="18"/>
      <c r="W179" s="16"/>
      <c r="X179" s="17"/>
      <c r="Y179" s="17"/>
      <c r="Z179" s="17"/>
      <c r="AA179" s="17"/>
      <c r="AB179" s="18"/>
      <c r="AC179" s="16"/>
      <c r="AD179" s="17"/>
      <c r="AE179" s="17"/>
      <c r="AF179" s="17"/>
      <c r="AG179" s="17"/>
      <c r="AH179" s="17"/>
      <c r="AI179" s="16"/>
      <c r="AJ179" s="17"/>
      <c r="AK179" s="17"/>
      <c r="AL179" s="17"/>
      <c r="AM179" s="17"/>
      <c r="AN179" s="18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8"/>
      <c r="BF179" s="1"/>
    </row>
    <row r="180" spans="1:58" ht="21" customHeight="1">
      <c r="A180" s="1"/>
      <c r="B180" s="16"/>
      <c r="C180" s="17"/>
      <c r="D180" s="18"/>
      <c r="E180" s="16"/>
      <c r="F180" s="17"/>
      <c r="G180" s="17"/>
      <c r="H180" s="17"/>
      <c r="I180" s="17"/>
      <c r="J180" s="18"/>
      <c r="K180" s="16"/>
      <c r="L180" s="17"/>
      <c r="M180" s="17"/>
      <c r="N180" s="17"/>
      <c r="O180" s="17"/>
      <c r="P180" s="18"/>
      <c r="Q180" s="16" t="s">
        <v>551</v>
      </c>
      <c r="R180" s="17"/>
      <c r="S180" s="17"/>
      <c r="T180" s="17"/>
      <c r="U180" s="17"/>
      <c r="V180" s="18"/>
      <c r="W180" s="16"/>
      <c r="X180" s="17"/>
      <c r="Y180" s="17"/>
      <c r="Z180" s="17"/>
      <c r="AA180" s="17"/>
      <c r="AB180" s="18"/>
      <c r="AC180" s="16"/>
      <c r="AD180" s="17"/>
      <c r="AE180" s="17"/>
      <c r="AF180" s="17"/>
      <c r="AG180" s="17"/>
      <c r="AH180" s="17"/>
      <c r="AI180" s="16"/>
      <c r="AJ180" s="17"/>
      <c r="AK180" s="17"/>
      <c r="AL180" s="17"/>
      <c r="AM180" s="17"/>
      <c r="AN180" s="18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8"/>
      <c r="BF180" s="1"/>
    </row>
    <row r="181" spans="1:58" ht="21" customHeight="1">
      <c r="A181" s="1"/>
      <c r="B181" s="16"/>
      <c r="C181" s="17"/>
      <c r="D181" s="18"/>
      <c r="E181" s="16"/>
      <c r="F181" s="17"/>
      <c r="G181" s="17"/>
      <c r="H181" s="17"/>
      <c r="I181" s="17"/>
      <c r="J181" s="18"/>
      <c r="K181" s="16"/>
      <c r="L181" s="17"/>
      <c r="M181" s="17"/>
      <c r="N181" s="17"/>
      <c r="O181" s="17"/>
      <c r="P181" s="18"/>
      <c r="Q181" s="16" t="s">
        <v>552</v>
      </c>
      <c r="R181" s="17"/>
      <c r="S181" s="17"/>
      <c r="T181" s="17"/>
      <c r="U181" s="17"/>
      <c r="V181" s="18"/>
      <c r="W181" s="16"/>
      <c r="X181" s="17"/>
      <c r="Y181" s="17"/>
      <c r="Z181" s="17"/>
      <c r="AA181" s="17"/>
      <c r="AB181" s="18"/>
      <c r="AC181" s="16"/>
      <c r="AD181" s="17"/>
      <c r="AE181" s="17"/>
      <c r="AF181" s="17"/>
      <c r="AG181" s="17"/>
      <c r="AH181" s="17"/>
      <c r="AI181" s="16"/>
      <c r="AJ181" s="17"/>
      <c r="AK181" s="17"/>
      <c r="AL181" s="17"/>
      <c r="AM181" s="17"/>
      <c r="AN181" s="18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8"/>
      <c r="BF181" s="1"/>
    </row>
    <row r="182" spans="1:58" ht="21" customHeight="1">
      <c r="A182" s="1"/>
      <c r="B182" s="16"/>
      <c r="C182" s="17"/>
      <c r="D182" s="18"/>
      <c r="E182" s="16"/>
      <c r="F182" s="17"/>
      <c r="G182" s="17"/>
      <c r="H182" s="17"/>
      <c r="I182" s="17"/>
      <c r="J182" s="18"/>
      <c r="K182" s="16"/>
      <c r="L182" s="17"/>
      <c r="M182" s="17"/>
      <c r="N182" s="17"/>
      <c r="O182" s="17"/>
      <c r="P182" s="18"/>
      <c r="Q182" s="16" t="s">
        <v>553</v>
      </c>
      <c r="R182" s="17"/>
      <c r="S182" s="17"/>
      <c r="T182" s="17"/>
      <c r="U182" s="17"/>
      <c r="V182" s="18"/>
      <c r="W182" s="16"/>
      <c r="X182" s="17"/>
      <c r="Y182" s="17"/>
      <c r="Z182" s="17"/>
      <c r="AA182" s="17"/>
      <c r="AB182" s="18"/>
      <c r="AC182" s="16"/>
      <c r="AD182" s="17"/>
      <c r="AE182" s="17"/>
      <c r="AF182" s="17"/>
      <c r="AG182" s="17"/>
      <c r="AH182" s="17"/>
      <c r="AI182" s="16"/>
      <c r="AJ182" s="17"/>
      <c r="AK182" s="17"/>
      <c r="AL182" s="17"/>
      <c r="AM182" s="17"/>
      <c r="AN182" s="18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8"/>
      <c r="BF182" s="1"/>
    </row>
    <row r="183" spans="1:58" ht="21" customHeight="1">
      <c r="A183" s="1"/>
      <c r="B183" s="16"/>
      <c r="C183" s="17"/>
      <c r="D183" s="18"/>
      <c r="E183" s="16"/>
      <c r="F183" s="17"/>
      <c r="G183" s="17"/>
      <c r="H183" s="17"/>
      <c r="I183" s="17"/>
      <c r="J183" s="18"/>
      <c r="K183" s="16"/>
      <c r="L183" s="17"/>
      <c r="M183" s="17"/>
      <c r="N183" s="17"/>
      <c r="O183" s="17"/>
      <c r="P183" s="18"/>
      <c r="Q183" s="16" t="s">
        <v>554</v>
      </c>
      <c r="R183" s="17"/>
      <c r="S183" s="17"/>
      <c r="T183" s="17"/>
      <c r="U183" s="17"/>
      <c r="V183" s="18"/>
      <c r="W183" s="16"/>
      <c r="X183" s="17"/>
      <c r="Y183" s="17"/>
      <c r="Z183" s="17"/>
      <c r="AA183" s="17"/>
      <c r="AB183" s="18"/>
      <c r="AC183" s="16"/>
      <c r="AD183" s="17"/>
      <c r="AE183" s="17"/>
      <c r="AF183" s="17"/>
      <c r="AG183" s="17"/>
      <c r="AH183" s="17"/>
      <c r="AI183" s="16"/>
      <c r="AJ183" s="17"/>
      <c r="AK183" s="17"/>
      <c r="AL183" s="17"/>
      <c r="AM183" s="17"/>
      <c r="AN183" s="18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8"/>
      <c r="BF183" s="1"/>
    </row>
    <row r="184" spans="1:58" ht="21" customHeight="1">
      <c r="A184" s="1"/>
      <c r="B184" s="16"/>
      <c r="C184" s="17"/>
      <c r="D184" s="18"/>
      <c r="E184" s="16"/>
      <c r="F184" s="17"/>
      <c r="G184" s="17"/>
      <c r="H184" s="17"/>
      <c r="I184" s="17"/>
      <c r="J184" s="18"/>
      <c r="K184" s="16"/>
      <c r="L184" s="17"/>
      <c r="M184" s="17"/>
      <c r="N184" s="17"/>
      <c r="O184" s="17"/>
      <c r="P184" s="18"/>
      <c r="Q184" s="16" t="s">
        <v>555</v>
      </c>
      <c r="R184" s="17"/>
      <c r="S184" s="17"/>
      <c r="T184" s="17"/>
      <c r="U184" s="17"/>
      <c r="V184" s="18"/>
      <c r="W184" s="16"/>
      <c r="X184" s="17"/>
      <c r="Y184" s="17"/>
      <c r="Z184" s="17"/>
      <c r="AA184" s="17"/>
      <c r="AB184" s="18"/>
      <c r="AC184" s="16"/>
      <c r="AD184" s="17"/>
      <c r="AE184" s="17"/>
      <c r="AF184" s="17"/>
      <c r="AG184" s="17"/>
      <c r="AH184" s="17"/>
      <c r="AI184" s="16"/>
      <c r="AJ184" s="17"/>
      <c r="AK184" s="17"/>
      <c r="AL184" s="17"/>
      <c r="AM184" s="17"/>
      <c r="AN184" s="18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8"/>
      <c r="BF184" s="1"/>
    </row>
    <row r="185" spans="1:58" ht="21" customHeight="1">
      <c r="A185" s="1"/>
      <c r="B185" s="16"/>
      <c r="C185" s="17"/>
      <c r="D185" s="18"/>
      <c r="E185" s="16"/>
      <c r="F185" s="17"/>
      <c r="G185" s="17"/>
      <c r="H185" s="17"/>
      <c r="I185" s="17"/>
      <c r="J185" s="18"/>
      <c r="K185" s="16"/>
      <c r="L185" s="17"/>
      <c r="M185" s="17"/>
      <c r="N185" s="17"/>
      <c r="O185" s="17"/>
      <c r="P185" s="18"/>
      <c r="Q185" s="16" t="s">
        <v>556</v>
      </c>
      <c r="R185" s="17"/>
      <c r="S185" s="17"/>
      <c r="T185" s="17"/>
      <c r="U185" s="17"/>
      <c r="V185" s="18"/>
      <c r="W185" s="16"/>
      <c r="X185" s="17"/>
      <c r="Y185" s="17"/>
      <c r="Z185" s="17"/>
      <c r="AA185" s="17"/>
      <c r="AB185" s="18"/>
      <c r="AC185" s="16"/>
      <c r="AD185" s="17"/>
      <c r="AE185" s="17"/>
      <c r="AF185" s="17"/>
      <c r="AG185" s="17"/>
      <c r="AH185" s="17"/>
      <c r="AI185" s="16"/>
      <c r="AJ185" s="17"/>
      <c r="AK185" s="17"/>
      <c r="AL185" s="17"/>
      <c r="AM185" s="17"/>
      <c r="AN185" s="18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8"/>
      <c r="BF185" s="1"/>
    </row>
    <row r="186" spans="1:58" ht="21" customHeight="1">
      <c r="A186" s="1"/>
      <c r="B186" s="16"/>
      <c r="C186" s="17"/>
      <c r="D186" s="18"/>
      <c r="E186" s="16"/>
      <c r="F186" s="17"/>
      <c r="G186" s="17"/>
      <c r="H186" s="17"/>
      <c r="I186" s="17"/>
      <c r="J186" s="18"/>
      <c r="K186" s="16"/>
      <c r="L186" s="17"/>
      <c r="M186" s="17"/>
      <c r="N186" s="17"/>
      <c r="O186" s="17"/>
      <c r="P186" s="18"/>
      <c r="Q186" s="16" t="s">
        <v>557</v>
      </c>
      <c r="R186" s="17"/>
      <c r="S186" s="17"/>
      <c r="T186" s="17"/>
      <c r="U186" s="17"/>
      <c r="V186" s="18"/>
      <c r="W186" s="16"/>
      <c r="X186" s="17"/>
      <c r="Y186" s="17"/>
      <c r="Z186" s="17"/>
      <c r="AA186" s="17"/>
      <c r="AB186" s="18"/>
      <c r="AC186" s="16"/>
      <c r="AD186" s="17"/>
      <c r="AE186" s="17"/>
      <c r="AF186" s="17"/>
      <c r="AG186" s="17"/>
      <c r="AH186" s="17"/>
      <c r="AI186" s="16"/>
      <c r="AJ186" s="17"/>
      <c r="AK186" s="17"/>
      <c r="AL186" s="17"/>
      <c r="AM186" s="17"/>
      <c r="AN186" s="18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8"/>
      <c r="BF186" s="1"/>
    </row>
    <row r="187" spans="1:58" ht="21" customHeight="1">
      <c r="A187" s="1"/>
      <c r="B187" s="16"/>
      <c r="C187" s="17"/>
      <c r="D187" s="18"/>
      <c r="E187" s="16"/>
      <c r="F187" s="17"/>
      <c r="G187" s="17"/>
      <c r="H187" s="17"/>
      <c r="I187" s="17"/>
      <c r="J187" s="18"/>
      <c r="K187" s="16"/>
      <c r="L187" s="17"/>
      <c r="M187" s="17"/>
      <c r="N187" s="17"/>
      <c r="O187" s="17"/>
      <c r="P187" s="18"/>
      <c r="Q187" s="16" t="s">
        <v>558</v>
      </c>
      <c r="R187" s="17"/>
      <c r="S187" s="17"/>
      <c r="T187" s="17"/>
      <c r="U187" s="17"/>
      <c r="V187" s="18"/>
      <c r="W187" s="16"/>
      <c r="X187" s="17"/>
      <c r="Y187" s="17"/>
      <c r="Z187" s="17"/>
      <c r="AA187" s="17"/>
      <c r="AB187" s="18"/>
      <c r="AC187" s="16"/>
      <c r="AD187" s="17"/>
      <c r="AE187" s="17"/>
      <c r="AF187" s="17"/>
      <c r="AG187" s="17"/>
      <c r="AH187" s="17"/>
      <c r="AI187" s="16"/>
      <c r="AJ187" s="17"/>
      <c r="AK187" s="17"/>
      <c r="AL187" s="17"/>
      <c r="AM187" s="17"/>
      <c r="AN187" s="18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8"/>
      <c r="BF187" s="1"/>
    </row>
    <row r="188" spans="1:58" ht="21" customHeight="1">
      <c r="A188" s="1"/>
      <c r="B188" s="16"/>
      <c r="C188" s="17"/>
      <c r="D188" s="18"/>
      <c r="E188" s="16"/>
      <c r="F188" s="17"/>
      <c r="G188" s="17"/>
      <c r="H188" s="17"/>
      <c r="I188" s="17"/>
      <c r="J188" s="18"/>
      <c r="K188" s="16"/>
      <c r="L188" s="17"/>
      <c r="M188" s="17"/>
      <c r="N188" s="17"/>
      <c r="O188" s="17"/>
      <c r="P188" s="18"/>
      <c r="Q188" s="16" t="s">
        <v>559</v>
      </c>
      <c r="R188" s="17"/>
      <c r="S188" s="17"/>
      <c r="T188" s="17"/>
      <c r="U188" s="17"/>
      <c r="V188" s="18"/>
      <c r="W188" s="16"/>
      <c r="X188" s="17"/>
      <c r="Y188" s="17"/>
      <c r="Z188" s="17"/>
      <c r="AA188" s="17"/>
      <c r="AB188" s="18"/>
      <c r="AC188" s="16"/>
      <c r="AD188" s="17"/>
      <c r="AE188" s="17"/>
      <c r="AF188" s="17"/>
      <c r="AG188" s="17"/>
      <c r="AH188" s="17"/>
      <c r="AI188" s="16"/>
      <c r="AJ188" s="17"/>
      <c r="AK188" s="17"/>
      <c r="AL188" s="17"/>
      <c r="AM188" s="17"/>
      <c r="AN188" s="18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8"/>
      <c r="BF188" s="1"/>
    </row>
    <row r="189" spans="1:58" ht="21" customHeight="1">
      <c r="A189" s="1"/>
      <c r="B189" s="16"/>
      <c r="C189" s="17"/>
      <c r="D189" s="18"/>
      <c r="E189" s="16"/>
      <c r="F189" s="17"/>
      <c r="G189" s="17"/>
      <c r="H189" s="17"/>
      <c r="I189" s="17"/>
      <c r="J189" s="18"/>
      <c r="K189" s="16"/>
      <c r="L189" s="17"/>
      <c r="M189" s="17"/>
      <c r="N189" s="17"/>
      <c r="O189" s="17"/>
      <c r="P189" s="18"/>
      <c r="Q189" s="16" t="s">
        <v>560</v>
      </c>
      <c r="R189" s="17"/>
      <c r="S189" s="17"/>
      <c r="T189" s="17"/>
      <c r="U189" s="17"/>
      <c r="V189" s="18"/>
      <c r="W189" s="16"/>
      <c r="X189" s="17"/>
      <c r="Y189" s="17"/>
      <c r="Z189" s="17"/>
      <c r="AA189" s="17"/>
      <c r="AB189" s="18"/>
      <c r="AC189" s="16"/>
      <c r="AD189" s="17"/>
      <c r="AE189" s="17"/>
      <c r="AF189" s="17"/>
      <c r="AG189" s="17"/>
      <c r="AH189" s="17"/>
      <c r="AI189" s="16"/>
      <c r="AJ189" s="17"/>
      <c r="AK189" s="17"/>
      <c r="AL189" s="17"/>
      <c r="AM189" s="17"/>
      <c r="AN189" s="18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8"/>
      <c r="BF189" s="1"/>
    </row>
    <row r="190" spans="1:58" ht="21" customHeight="1">
      <c r="A190" s="1"/>
      <c r="B190" s="16"/>
      <c r="C190" s="17"/>
      <c r="D190" s="18"/>
      <c r="E190" s="16"/>
      <c r="F190" s="17"/>
      <c r="G190" s="17"/>
      <c r="H190" s="17"/>
      <c r="I190" s="17"/>
      <c r="J190" s="18"/>
      <c r="K190" s="16"/>
      <c r="L190" s="17"/>
      <c r="M190" s="17"/>
      <c r="N190" s="17"/>
      <c r="O190" s="17"/>
      <c r="P190" s="18"/>
      <c r="Q190" s="16" t="s">
        <v>561</v>
      </c>
      <c r="R190" s="17"/>
      <c r="S190" s="17"/>
      <c r="T190" s="17"/>
      <c r="U190" s="17"/>
      <c r="V190" s="18"/>
      <c r="W190" s="16"/>
      <c r="X190" s="17"/>
      <c r="Y190" s="17"/>
      <c r="Z190" s="17"/>
      <c r="AA190" s="17"/>
      <c r="AB190" s="18"/>
      <c r="AC190" s="16"/>
      <c r="AD190" s="17"/>
      <c r="AE190" s="17"/>
      <c r="AF190" s="17"/>
      <c r="AG190" s="17"/>
      <c r="AH190" s="17"/>
      <c r="AI190" s="16"/>
      <c r="AJ190" s="17"/>
      <c r="AK190" s="17"/>
      <c r="AL190" s="17"/>
      <c r="AM190" s="17"/>
      <c r="AN190" s="18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8"/>
      <c r="BF190" s="1"/>
    </row>
    <row r="191" spans="1:58" ht="21" customHeight="1">
      <c r="A191" s="1"/>
      <c r="B191" s="16"/>
      <c r="C191" s="17"/>
      <c r="D191" s="18"/>
      <c r="E191" s="16"/>
      <c r="F191" s="17"/>
      <c r="G191" s="17"/>
      <c r="H191" s="17"/>
      <c r="I191" s="17"/>
      <c r="J191" s="18"/>
      <c r="K191" s="16"/>
      <c r="L191" s="17"/>
      <c r="M191" s="17"/>
      <c r="N191" s="17"/>
      <c r="O191" s="17"/>
      <c r="P191" s="18"/>
      <c r="Q191" s="16" t="s">
        <v>562</v>
      </c>
      <c r="R191" s="17"/>
      <c r="S191" s="17"/>
      <c r="T191" s="17"/>
      <c r="U191" s="17"/>
      <c r="V191" s="18"/>
      <c r="W191" s="16"/>
      <c r="X191" s="17"/>
      <c r="Y191" s="17"/>
      <c r="Z191" s="17"/>
      <c r="AA191" s="17"/>
      <c r="AB191" s="18"/>
      <c r="AC191" s="16"/>
      <c r="AD191" s="17"/>
      <c r="AE191" s="17"/>
      <c r="AF191" s="17"/>
      <c r="AG191" s="17"/>
      <c r="AH191" s="17"/>
      <c r="AI191" s="16"/>
      <c r="AJ191" s="17"/>
      <c r="AK191" s="17"/>
      <c r="AL191" s="17"/>
      <c r="AM191" s="17"/>
      <c r="AN191" s="18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8"/>
      <c r="BF191" s="1"/>
    </row>
    <row r="192" spans="1:58" ht="21" customHeight="1">
      <c r="A192" s="1"/>
      <c r="B192" s="16"/>
      <c r="C192" s="17"/>
      <c r="D192" s="18"/>
      <c r="E192" s="16"/>
      <c r="F192" s="17"/>
      <c r="G192" s="17"/>
      <c r="H192" s="17"/>
      <c r="I192" s="17"/>
      <c r="J192" s="18"/>
      <c r="K192" s="16"/>
      <c r="L192" s="17"/>
      <c r="M192" s="17"/>
      <c r="N192" s="17"/>
      <c r="O192" s="17"/>
      <c r="P192" s="18"/>
      <c r="Q192" s="16" t="s">
        <v>563</v>
      </c>
      <c r="R192" s="17"/>
      <c r="S192" s="17"/>
      <c r="T192" s="17"/>
      <c r="U192" s="17"/>
      <c r="V192" s="18"/>
      <c r="W192" s="16"/>
      <c r="X192" s="17"/>
      <c r="Y192" s="17"/>
      <c r="Z192" s="17"/>
      <c r="AA192" s="17"/>
      <c r="AB192" s="18"/>
      <c r="AC192" s="16"/>
      <c r="AD192" s="17"/>
      <c r="AE192" s="17"/>
      <c r="AF192" s="17"/>
      <c r="AG192" s="17"/>
      <c r="AH192" s="17"/>
      <c r="AI192" s="16"/>
      <c r="AJ192" s="17"/>
      <c r="AK192" s="17"/>
      <c r="AL192" s="17"/>
      <c r="AM192" s="17"/>
      <c r="AN192" s="18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8"/>
      <c r="BF192" s="1"/>
    </row>
    <row r="193" spans="1:58" ht="21" customHeight="1">
      <c r="A193" s="1"/>
      <c r="B193" s="16"/>
      <c r="C193" s="17"/>
      <c r="D193" s="18"/>
      <c r="E193" s="16"/>
      <c r="F193" s="17"/>
      <c r="G193" s="17"/>
      <c r="H193" s="17"/>
      <c r="I193" s="17"/>
      <c r="J193" s="18"/>
      <c r="K193" s="16"/>
      <c r="L193" s="17"/>
      <c r="M193" s="17"/>
      <c r="N193" s="17"/>
      <c r="O193" s="17"/>
      <c r="P193" s="18"/>
      <c r="Q193" s="16" t="s">
        <v>564</v>
      </c>
      <c r="R193" s="17"/>
      <c r="S193" s="17"/>
      <c r="T193" s="17"/>
      <c r="U193" s="17"/>
      <c r="V193" s="18"/>
      <c r="W193" s="16"/>
      <c r="X193" s="17"/>
      <c r="Y193" s="17"/>
      <c r="Z193" s="17"/>
      <c r="AA193" s="17"/>
      <c r="AB193" s="18"/>
      <c r="AC193" s="16"/>
      <c r="AD193" s="17"/>
      <c r="AE193" s="17"/>
      <c r="AF193" s="17"/>
      <c r="AG193" s="17"/>
      <c r="AH193" s="17"/>
      <c r="AI193" s="16"/>
      <c r="AJ193" s="17"/>
      <c r="AK193" s="17"/>
      <c r="AL193" s="17"/>
      <c r="AM193" s="17"/>
      <c r="AN193" s="18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8"/>
      <c r="BF193" s="1"/>
    </row>
    <row r="194" spans="1:58" ht="21" customHeight="1">
      <c r="A194" s="1"/>
      <c r="B194" s="16"/>
      <c r="C194" s="17"/>
      <c r="D194" s="18"/>
      <c r="E194" s="16"/>
      <c r="F194" s="17"/>
      <c r="G194" s="17"/>
      <c r="H194" s="17"/>
      <c r="I194" s="17"/>
      <c r="J194" s="18"/>
      <c r="K194" s="16"/>
      <c r="L194" s="17"/>
      <c r="M194" s="17"/>
      <c r="N194" s="17"/>
      <c r="O194" s="17"/>
      <c r="P194" s="18"/>
      <c r="Q194" s="16" t="s">
        <v>565</v>
      </c>
      <c r="R194" s="17"/>
      <c r="S194" s="17"/>
      <c r="T194" s="17"/>
      <c r="U194" s="17"/>
      <c r="V194" s="18"/>
      <c r="W194" s="16"/>
      <c r="X194" s="17"/>
      <c r="Y194" s="17"/>
      <c r="Z194" s="17"/>
      <c r="AA194" s="17"/>
      <c r="AB194" s="18"/>
      <c r="AC194" s="16"/>
      <c r="AD194" s="17"/>
      <c r="AE194" s="17"/>
      <c r="AF194" s="17"/>
      <c r="AG194" s="17"/>
      <c r="AH194" s="17"/>
      <c r="AI194" s="16"/>
      <c r="AJ194" s="17"/>
      <c r="AK194" s="17"/>
      <c r="AL194" s="17"/>
      <c r="AM194" s="17"/>
      <c r="AN194" s="18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8"/>
      <c r="BF194" s="1"/>
    </row>
    <row r="195" spans="1:58" ht="21" customHeight="1">
      <c r="A195" s="1"/>
      <c r="B195" s="16"/>
      <c r="C195" s="17"/>
      <c r="D195" s="18"/>
      <c r="E195" s="16"/>
      <c r="F195" s="17"/>
      <c r="G195" s="17"/>
      <c r="H195" s="17"/>
      <c r="I195" s="17"/>
      <c r="J195" s="18"/>
      <c r="K195" s="16"/>
      <c r="L195" s="17"/>
      <c r="M195" s="17"/>
      <c r="N195" s="17"/>
      <c r="O195" s="17"/>
      <c r="P195" s="18"/>
      <c r="Q195" s="16" t="s">
        <v>566</v>
      </c>
      <c r="R195" s="17"/>
      <c r="S195" s="17"/>
      <c r="T195" s="17"/>
      <c r="U195" s="17"/>
      <c r="V195" s="18"/>
      <c r="W195" s="16"/>
      <c r="X195" s="17"/>
      <c r="Y195" s="17"/>
      <c r="Z195" s="17"/>
      <c r="AA195" s="17"/>
      <c r="AB195" s="18"/>
      <c r="AC195" s="16"/>
      <c r="AD195" s="17"/>
      <c r="AE195" s="17"/>
      <c r="AF195" s="17"/>
      <c r="AG195" s="17"/>
      <c r="AH195" s="17"/>
      <c r="AI195" s="16"/>
      <c r="AJ195" s="17"/>
      <c r="AK195" s="17"/>
      <c r="AL195" s="17"/>
      <c r="AM195" s="17"/>
      <c r="AN195" s="18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8"/>
      <c r="BF195" s="1"/>
    </row>
    <row r="196" spans="1:58" ht="21" customHeight="1">
      <c r="A196" s="1"/>
      <c r="B196" s="16"/>
      <c r="C196" s="17"/>
      <c r="D196" s="18"/>
      <c r="E196" s="16"/>
      <c r="F196" s="17"/>
      <c r="G196" s="17"/>
      <c r="H196" s="17"/>
      <c r="I196" s="17"/>
      <c r="J196" s="18"/>
      <c r="K196" s="16"/>
      <c r="L196" s="17"/>
      <c r="M196" s="17"/>
      <c r="N196" s="17"/>
      <c r="O196" s="17"/>
      <c r="P196" s="18"/>
      <c r="Q196" s="16" t="s">
        <v>567</v>
      </c>
      <c r="R196" s="17"/>
      <c r="S196" s="17"/>
      <c r="T196" s="17"/>
      <c r="U196" s="17"/>
      <c r="V196" s="18"/>
      <c r="W196" s="16"/>
      <c r="X196" s="17"/>
      <c r="Y196" s="17"/>
      <c r="Z196" s="17"/>
      <c r="AA196" s="17"/>
      <c r="AB196" s="18"/>
      <c r="AC196" s="16"/>
      <c r="AD196" s="17"/>
      <c r="AE196" s="17"/>
      <c r="AF196" s="17"/>
      <c r="AG196" s="17"/>
      <c r="AH196" s="17"/>
      <c r="AI196" s="16"/>
      <c r="AJ196" s="17"/>
      <c r="AK196" s="17"/>
      <c r="AL196" s="17"/>
      <c r="AM196" s="17"/>
      <c r="AN196" s="18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8"/>
      <c r="BF196" s="1"/>
    </row>
    <row r="197" spans="1:58" ht="21" customHeight="1">
      <c r="A197" s="1"/>
      <c r="B197" s="16"/>
      <c r="C197" s="17"/>
      <c r="D197" s="18"/>
      <c r="E197" s="16"/>
      <c r="F197" s="17"/>
      <c r="G197" s="17"/>
      <c r="H197" s="17"/>
      <c r="I197" s="17"/>
      <c r="J197" s="18"/>
      <c r="K197" s="16"/>
      <c r="L197" s="17"/>
      <c r="M197" s="17"/>
      <c r="N197" s="17"/>
      <c r="O197" s="17"/>
      <c r="P197" s="18"/>
      <c r="Q197" s="16" t="s">
        <v>568</v>
      </c>
      <c r="R197" s="17"/>
      <c r="S197" s="17"/>
      <c r="T197" s="17"/>
      <c r="U197" s="17"/>
      <c r="V197" s="18"/>
      <c r="W197" s="16"/>
      <c r="X197" s="17"/>
      <c r="Y197" s="17"/>
      <c r="Z197" s="17"/>
      <c r="AA197" s="17"/>
      <c r="AB197" s="18"/>
      <c r="AC197" s="16"/>
      <c r="AD197" s="17"/>
      <c r="AE197" s="17"/>
      <c r="AF197" s="17"/>
      <c r="AG197" s="17"/>
      <c r="AH197" s="17"/>
      <c r="AI197" s="16"/>
      <c r="AJ197" s="17"/>
      <c r="AK197" s="17"/>
      <c r="AL197" s="17"/>
      <c r="AM197" s="17"/>
      <c r="AN197" s="18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8"/>
      <c r="BF197" s="1"/>
    </row>
    <row r="198" spans="1:58" ht="21" customHeight="1">
      <c r="A198" s="1"/>
      <c r="B198" s="16"/>
      <c r="C198" s="17"/>
      <c r="D198" s="18"/>
      <c r="E198" s="16"/>
      <c r="F198" s="17"/>
      <c r="G198" s="17"/>
      <c r="H198" s="17"/>
      <c r="I198" s="17"/>
      <c r="J198" s="18"/>
      <c r="K198" s="16"/>
      <c r="L198" s="17"/>
      <c r="M198" s="17"/>
      <c r="N198" s="17"/>
      <c r="O198" s="17"/>
      <c r="P198" s="18"/>
      <c r="Q198" s="16" t="s">
        <v>569</v>
      </c>
      <c r="R198" s="17"/>
      <c r="S198" s="17"/>
      <c r="T198" s="17"/>
      <c r="U198" s="17"/>
      <c r="V198" s="18"/>
      <c r="W198" s="16"/>
      <c r="X198" s="17"/>
      <c r="Y198" s="17"/>
      <c r="Z198" s="17"/>
      <c r="AA198" s="17"/>
      <c r="AB198" s="18"/>
      <c r="AC198" s="16"/>
      <c r="AD198" s="17"/>
      <c r="AE198" s="17"/>
      <c r="AF198" s="17"/>
      <c r="AG198" s="17"/>
      <c r="AH198" s="17"/>
      <c r="AI198" s="16"/>
      <c r="AJ198" s="17"/>
      <c r="AK198" s="17"/>
      <c r="AL198" s="17"/>
      <c r="AM198" s="17"/>
      <c r="AN198" s="18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8"/>
      <c r="BF198" s="1"/>
    </row>
    <row r="199" spans="1:58" ht="21" customHeight="1">
      <c r="A199" s="1"/>
      <c r="B199" s="16"/>
      <c r="C199" s="17"/>
      <c r="D199" s="18"/>
      <c r="E199" s="16"/>
      <c r="F199" s="17"/>
      <c r="G199" s="17"/>
      <c r="H199" s="17"/>
      <c r="I199" s="17"/>
      <c r="J199" s="18"/>
      <c r="K199" s="16"/>
      <c r="L199" s="17"/>
      <c r="M199" s="17"/>
      <c r="N199" s="17"/>
      <c r="O199" s="17"/>
      <c r="P199" s="18"/>
      <c r="Q199" s="16" t="s">
        <v>570</v>
      </c>
      <c r="R199" s="17"/>
      <c r="S199" s="17"/>
      <c r="T199" s="17"/>
      <c r="U199" s="17"/>
      <c r="V199" s="18"/>
      <c r="W199" s="16"/>
      <c r="X199" s="17"/>
      <c r="Y199" s="17"/>
      <c r="Z199" s="17"/>
      <c r="AA199" s="17"/>
      <c r="AB199" s="18"/>
      <c r="AC199" s="16"/>
      <c r="AD199" s="17"/>
      <c r="AE199" s="17"/>
      <c r="AF199" s="17"/>
      <c r="AG199" s="17"/>
      <c r="AH199" s="17"/>
      <c r="AI199" s="16"/>
      <c r="AJ199" s="17"/>
      <c r="AK199" s="17"/>
      <c r="AL199" s="17"/>
      <c r="AM199" s="17"/>
      <c r="AN199" s="18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8"/>
      <c r="BF199" s="1"/>
    </row>
    <row r="200" spans="1:58" ht="21" customHeight="1">
      <c r="A200" s="1"/>
      <c r="B200" s="16"/>
      <c r="C200" s="17"/>
      <c r="D200" s="18"/>
      <c r="E200" s="16"/>
      <c r="F200" s="17"/>
      <c r="G200" s="17"/>
      <c r="H200" s="17"/>
      <c r="I200" s="17"/>
      <c r="J200" s="18"/>
      <c r="K200" s="16"/>
      <c r="L200" s="17"/>
      <c r="M200" s="17"/>
      <c r="N200" s="17"/>
      <c r="O200" s="17"/>
      <c r="P200" s="18"/>
      <c r="Q200" s="16" t="s">
        <v>571</v>
      </c>
      <c r="R200" s="17"/>
      <c r="S200" s="17"/>
      <c r="T200" s="17"/>
      <c r="U200" s="17"/>
      <c r="V200" s="18"/>
      <c r="W200" s="16"/>
      <c r="X200" s="17"/>
      <c r="Y200" s="17"/>
      <c r="Z200" s="17"/>
      <c r="AA200" s="17"/>
      <c r="AB200" s="18"/>
      <c r="AC200" s="16"/>
      <c r="AD200" s="17"/>
      <c r="AE200" s="17"/>
      <c r="AF200" s="17"/>
      <c r="AG200" s="17"/>
      <c r="AH200" s="17"/>
      <c r="AI200" s="16"/>
      <c r="AJ200" s="17"/>
      <c r="AK200" s="17"/>
      <c r="AL200" s="17"/>
      <c r="AM200" s="17"/>
      <c r="AN200" s="18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8"/>
      <c r="BF200" s="1"/>
    </row>
    <row r="201" spans="1:58" ht="21" customHeight="1">
      <c r="A201" s="1"/>
      <c r="B201" s="16"/>
      <c r="C201" s="17"/>
      <c r="D201" s="18"/>
      <c r="E201" s="16"/>
      <c r="F201" s="17"/>
      <c r="G201" s="17"/>
      <c r="H201" s="17"/>
      <c r="I201" s="17"/>
      <c r="J201" s="18"/>
      <c r="K201" s="16"/>
      <c r="L201" s="17"/>
      <c r="M201" s="17"/>
      <c r="N201" s="17"/>
      <c r="O201" s="17"/>
      <c r="P201" s="18"/>
      <c r="Q201" s="16" t="s">
        <v>572</v>
      </c>
      <c r="R201" s="17"/>
      <c r="S201" s="17"/>
      <c r="T201" s="17"/>
      <c r="U201" s="17"/>
      <c r="V201" s="18"/>
      <c r="W201" s="16"/>
      <c r="X201" s="17"/>
      <c r="Y201" s="17"/>
      <c r="Z201" s="17"/>
      <c r="AA201" s="17"/>
      <c r="AB201" s="18"/>
      <c r="AC201" s="16"/>
      <c r="AD201" s="17"/>
      <c r="AE201" s="17"/>
      <c r="AF201" s="17"/>
      <c r="AG201" s="17"/>
      <c r="AH201" s="17"/>
      <c r="AI201" s="16"/>
      <c r="AJ201" s="17"/>
      <c r="AK201" s="17"/>
      <c r="AL201" s="17"/>
      <c r="AM201" s="17"/>
      <c r="AN201" s="18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8"/>
      <c r="BF201" s="1"/>
    </row>
    <row r="202" spans="1:58" ht="21" customHeight="1">
      <c r="A202" s="1"/>
      <c r="B202" s="16"/>
      <c r="C202" s="17"/>
      <c r="D202" s="18"/>
      <c r="E202" s="16"/>
      <c r="F202" s="17"/>
      <c r="G202" s="17"/>
      <c r="H202" s="17"/>
      <c r="I202" s="17"/>
      <c r="J202" s="18"/>
      <c r="K202" s="16"/>
      <c r="L202" s="17"/>
      <c r="M202" s="17"/>
      <c r="N202" s="17"/>
      <c r="O202" s="17"/>
      <c r="P202" s="18"/>
      <c r="Q202" s="16" t="s">
        <v>573</v>
      </c>
      <c r="R202" s="17"/>
      <c r="S202" s="17"/>
      <c r="T202" s="17"/>
      <c r="U202" s="17"/>
      <c r="V202" s="18"/>
      <c r="W202" s="16"/>
      <c r="X202" s="17"/>
      <c r="Y202" s="17"/>
      <c r="Z202" s="17"/>
      <c r="AA202" s="17"/>
      <c r="AB202" s="18"/>
      <c r="AC202" s="16"/>
      <c r="AD202" s="17"/>
      <c r="AE202" s="17"/>
      <c r="AF202" s="17"/>
      <c r="AG202" s="17"/>
      <c r="AH202" s="17"/>
      <c r="AI202" s="16"/>
      <c r="AJ202" s="17"/>
      <c r="AK202" s="17"/>
      <c r="AL202" s="17"/>
      <c r="AM202" s="17"/>
      <c r="AN202" s="18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8"/>
      <c r="BF202" s="1"/>
    </row>
    <row r="203" spans="1:58" ht="21" customHeight="1">
      <c r="A203" s="1"/>
      <c r="B203" s="16"/>
      <c r="C203" s="17"/>
      <c r="D203" s="18"/>
      <c r="E203" s="16"/>
      <c r="F203" s="17"/>
      <c r="G203" s="17"/>
      <c r="H203" s="17"/>
      <c r="I203" s="17"/>
      <c r="J203" s="18"/>
      <c r="K203" s="16"/>
      <c r="L203" s="17"/>
      <c r="M203" s="17"/>
      <c r="N203" s="17"/>
      <c r="O203" s="17"/>
      <c r="P203" s="18"/>
      <c r="Q203" s="16" t="s">
        <v>574</v>
      </c>
      <c r="R203" s="17"/>
      <c r="S203" s="17"/>
      <c r="T203" s="17"/>
      <c r="U203" s="17"/>
      <c r="V203" s="18"/>
      <c r="W203" s="16"/>
      <c r="X203" s="17"/>
      <c r="Y203" s="17"/>
      <c r="Z203" s="17"/>
      <c r="AA203" s="17"/>
      <c r="AB203" s="18"/>
      <c r="AC203" s="16"/>
      <c r="AD203" s="17"/>
      <c r="AE203" s="17"/>
      <c r="AF203" s="17"/>
      <c r="AG203" s="17"/>
      <c r="AH203" s="17"/>
      <c r="AI203" s="16"/>
      <c r="AJ203" s="17"/>
      <c r="AK203" s="17"/>
      <c r="AL203" s="17"/>
      <c r="AM203" s="17"/>
      <c r="AN203" s="18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8"/>
      <c r="BF203" s="1"/>
    </row>
    <row r="204" spans="1:58" ht="21" customHeight="1">
      <c r="A204" s="1"/>
      <c r="B204" s="16"/>
      <c r="C204" s="17"/>
      <c r="D204" s="18"/>
      <c r="E204" s="16"/>
      <c r="F204" s="17"/>
      <c r="G204" s="17"/>
      <c r="H204" s="17"/>
      <c r="I204" s="17"/>
      <c r="J204" s="18"/>
      <c r="K204" s="16"/>
      <c r="L204" s="17"/>
      <c r="M204" s="17"/>
      <c r="N204" s="17"/>
      <c r="O204" s="17"/>
      <c r="P204" s="18"/>
      <c r="Q204" s="16" t="s">
        <v>575</v>
      </c>
      <c r="R204" s="17"/>
      <c r="S204" s="17"/>
      <c r="T204" s="17"/>
      <c r="U204" s="17"/>
      <c r="V204" s="18"/>
      <c r="W204" s="16"/>
      <c r="X204" s="17"/>
      <c r="Y204" s="17"/>
      <c r="Z204" s="17"/>
      <c r="AA204" s="17"/>
      <c r="AB204" s="18"/>
      <c r="AC204" s="16"/>
      <c r="AD204" s="17"/>
      <c r="AE204" s="17"/>
      <c r="AF204" s="17"/>
      <c r="AG204" s="17"/>
      <c r="AH204" s="17"/>
      <c r="AI204" s="16"/>
      <c r="AJ204" s="17"/>
      <c r="AK204" s="17"/>
      <c r="AL204" s="17"/>
      <c r="AM204" s="17"/>
      <c r="AN204" s="18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8"/>
      <c r="BF204" s="1"/>
    </row>
    <row r="205" spans="1:58" ht="21" customHeight="1">
      <c r="A205" s="1"/>
      <c r="B205" s="44"/>
      <c r="C205" s="45"/>
      <c r="D205" s="46"/>
      <c r="E205" s="44"/>
      <c r="F205" s="45"/>
      <c r="G205" s="45"/>
      <c r="H205" s="45"/>
      <c r="I205" s="45"/>
      <c r="J205" s="46"/>
      <c r="K205" s="44"/>
      <c r="L205" s="45"/>
      <c r="M205" s="45"/>
      <c r="N205" s="45"/>
      <c r="O205" s="45"/>
      <c r="P205" s="46"/>
      <c r="Q205" s="44" t="s">
        <v>576</v>
      </c>
      <c r="R205" s="45"/>
      <c r="S205" s="45"/>
      <c r="T205" s="45"/>
      <c r="U205" s="45"/>
      <c r="V205" s="46"/>
      <c r="W205" s="44"/>
      <c r="X205" s="45"/>
      <c r="Y205" s="45"/>
      <c r="Z205" s="45"/>
      <c r="AA205" s="45"/>
      <c r="AB205" s="46"/>
      <c r="AC205" s="44"/>
      <c r="AD205" s="45"/>
      <c r="AE205" s="45"/>
      <c r="AF205" s="45"/>
      <c r="AG205" s="45"/>
      <c r="AH205" s="45"/>
      <c r="AI205" s="44"/>
      <c r="AJ205" s="45"/>
      <c r="AK205" s="45"/>
      <c r="AL205" s="45"/>
      <c r="AM205" s="45"/>
      <c r="AN205" s="46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6"/>
      <c r="BF205" s="1"/>
    </row>
    <row r="206" spans="1:58" ht="21" customHeight="1">
      <c r="A206" s="1"/>
      <c r="B206" s="13" t="s">
        <v>719</v>
      </c>
      <c r="C206" s="14"/>
      <c r="D206" s="15"/>
      <c r="E206" s="13" t="s">
        <v>720</v>
      </c>
      <c r="F206" s="14"/>
      <c r="G206" s="14"/>
      <c r="H206" s="14"/>
      <c r="I206" s="14"/>
      <c r="J206" s="15"/>
      <c r="K206" s="13"/>
      <c r="L206" s="14"/>
      <c r="M206" s="14"/>
      <c r="N206" s="14"/>
      <c r="O206" s="14"/>
      <c r="P206" s="15"/>
      <c r="Q206" s="13" t="s">
        <v>83</v>
      </c>
      <c r="R206" s="14"/>
      <c r="S206" s="14"/>
      <c r="T206" s="14"/>
      <c r="U206" s="14"/>
      <c r="V206" s="15"/>
      <c r="W206" s="13"/>
      <c r="X206" s="14"/>
      <c r="Y206" s="14"/>
      <c r="Z206" s="14"/>
      <c r="AA206" s="14"/>
      <c r="AB206" s="15"/>
      <c r="AC206" s="13" t="s">
        <v>658</v>
      </c>
      <c r="AD206" s="14"/>
      <c r="AE206" s="14"/>
      <c r="AF206" s="14"/>
      <c r="AG206" s="14"/>
      <c r="AH206" s="14"/>
      <c r="AI206" s="13" t="s">
        <v>766</v>
      </c>
      <c r="AJ206" s="14"/>
      <c r="AK206" s="14"/>
      <c r="AL206" s="14"/>
      <c r="AM206" s="14"/>
      <c r="AN206" s="15"/>
      <c r="AO206" s="14" t="s">
        <v>721</v>
      </c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5"/>
      <c r="BF206" s="1"/>
    </row>
    <row r="207" spans="1:58" ht="21" customHeight="1">
      <c r="A207" s="1"/>
      <c r="B207" s="16"/>
      <c r="C207" s="17"/>
      <c r="D207" s="18"/>
      <c r="E207" s="16"/>
      <c r="F207" s="17"/>
      <c r="G207" s="17"/>
      <c r="H207" s="17"/>
      <c r="I207" s="17"/>
      <c r="J207" s="18"/>
      <c r="K207" s="16"/>
      <c r="L207" s="17"/>
      <c r="M207" s="17"/>
      <c r="N207" s="17"/>
      <c r="O207" s="17"/>
      <c r="P207" s="18"/>
      <c r="Q207" s="16" t="s">
        <v>46</v>
      </c>
      <c r="R207" s="17"/>
      <c r="S207" s="17"/>
      <c r="T207" s="17"/>
      <c r="U207" s="17"/>
      <c r="V207" s="18"/>
      <c r="W207" s="16"/>
      <c r="X207" s="17"/>
      <c r="Y207" s="17"/>
      <c r="Z207" s="17"/>
      <c r="AA207" s="17"/>
      <c r="AB207" s="18"/>
      <c r="AC207" s="16"/>
      <c r="AD207" s="17"/>
      <c r="AE207" s="17"/>
      <c r="AF207" s="17"/>
      <c r="AG207" s="17"/>
      <c r="AH207" s="17"/>
      <c r="AI207" s="16"/>
      <c r="AJ207" s="17"/>
      <c r="AK207" s="17"/>
      <c r="AL207" s="17"/>
      <c r="AM207" s="17"/>
      <c r="AN207" s="18"/>
      <c r="AO207" s="17" t="s">
        <v>722</v>
      </c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8"/>
      <c r="BF207" s="1"/>
    </row>
    <row r="208" spans="1:58" ht="21" customHeight="1">
      <c r="A208" s="1"/>
      <c r="B208" s="16"/>
      <c r="C208" s="17"/>
      <c r="D208" s="18"/>
      <c r="E208" s="16"/>
      <c r="F208" s="17"/>
      <c r="G208" s="17"/>
      <c r="H208" s="17"/>
      <c r="I208" s="17"/>
      <c r="J208" s="18"/>
      <c r="K208" s="16"/>
      <c r="L208" s="17"/>
      <c r="M208" s="17"/>
      <c r="N208" s="17"/>
      <c r="O208" s="17"/>
      <c r="P208" s="18"/>
      <c r="Q208" s="16" t="s">
        <v>48</v>
      </c>
      <c r="R208" s="17"/>
      <c r="S208" s="17"/>
      <c r="T208" s="17"/>
      <c r="U208" s="17"/>
      <c r="V208" s="18"/>
      <c r="W208" s="16"/>
      <c r="X208" s="17"/>
      <c r="Y208" s="17"/>
      <c r="Z208" s="17"/>
      <c r="AA208" s="17"/>
      <c r="AB208" s="18"/>
      <c r="AC208" s="16"/>
      <c r="AD208" s="17"/>
      <c r="AE208" s="17"/>
      <c r="AF208" s="17"/>
      <c r="AG208" s="17"/>
      <c r="AH208" s="17"/>
      <c r="AI208" s="16"/>
      <c r="AJ208" s="17"/>
      <c r="AK208" s="17"/>
      <c r="AL208" s="17"/>
      <c r="AM208" s="17"/>
      <c r="AN208" s="18"/>
      <c r="AO208" s="17" t="s">
        <v>723</v>
      </c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8"/>
      <c r="BF208" s="1"/>
    </row>
    <row r="209" spans="1:58" ht="21" customHeight="1">
      <c r="A209" s="1"/>
      <c r="B209" s="16"/>
      <c r="C209" s="17"/>
      <c r="D209" s="18"/>
      <c r="E209" s="16"/>
      <c r="F209" s="17"/>
      <c r="G209" s="17"/>
      <c r="H209" s="17"/>
      <c r="I209" s="17"/>
      <c r="J209" s="18"/>
      <c r="K209" s="16"/>
      <c r="L209" s="17"/>
      <c r="M209" s="17"/>
      <c r="N209" s="17"/>
      <c r="O209" s="17"/>
      <c r="P209" s="18"/>
      <c r="Q209" s="16" t="s">
        <v>50</v>
      </c>
      <c r="R209" s="17"/>
      <c r="S209" s="17"/>
      <c r="T209" s="17"/>
      <c r="U209" s="17"/>
      <c r="V209" s="18"/>
      <c r="W209" s="16"/>
      <c r="X209" s="17"/>
      <c r="Y209" s="17"/>
      <c r="Z209" s="17"/>
      <c r="AA209" s="17"/>
      <c r="AB209" s="18"/>
      <c r="AC209" s="16"/>
      <c r="AD209" s="17"/>
      <c r="AE209" s="17"/>
      <c r="AF209" s="17"/>
      <c r="AG209" s="17"/>
      <c r="AH209" s="17"/>
      <c r="AI209" s="16"/>
      <c r="AJ209" s="17"/>
      <c r="AK209" s="17"/>
      <c r="AL209" s="17"/>
      <c r="AM209" s="17"/>
      <c r="AN209" s="18"/>
      <c r="AO209" s="17" t="s">
        <v>724</v>
      </c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8"/>
      <c r="BF209" s="1"/>
    </row>
    <row r="210" spans="1:58" ht="21" customHeight="1">
      <c r="A210" s="1"/>
      <c r="B210" s="16"/>
      <c r="C210" s="17"/>
      <c r="D210" s="18"/>
      <c r="E210" s="16"/>
      <c r="F210" s="17"/>
      <c r="G210" s="17"/>
      <c r="H210" s="17"/>
      <c r="I210" s="17"/>
      <c r="J210" s="18"/>
      <c r="K210" s="16"/>
      <c r="L210" s="17"/>
      <c r="M210" s="17"/>
      <c r="N210" s="17"/>
      <c r="O210" s="17"/>
      <c r="P210" s="18"/>
      <c r="Q210" s="16" t="s">
        <v>52</v>
      </c>
      <c r="R210" s="17"/>
      <c r="S210" s="17"/>
      <c r="T210" s="17"/>
      <c r="U210" s="17"/>
      <c r="V210" s="18"/>
      <c r="W210" s="16"/>
      <c r="X210" s="17"/>
      <c r="Y210" s="17"/>
      <c r="Z210" s="17"/>
      <c r="AA210" s="17"/>
      <c r="AB210" s="18"/>
      <c r="AC210" s="16"/>
      <c r="AD210" s="17"/>
      <c r="AE210" s="17"/>
      <c r="AF210" s="17"/>
      <c r="AG210" s="17"/>
      <c r="AH210" s="17"/>
      <c r="AI210" s="16"/>
      <c r="AJ210" s="17"/>
      <c r="AK210" s="17"/>
      <c r="AL210" s="17"/>
      <c r="AM210" s="17"/>
      <c r="AN210" s="18"/>
      <c r="AO210" s="17" t="s">
        <v>725</v>
      </c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8"/>
      <c r="BF210" s="1"/>
    </row>
    <row r="211" spans="1:58" ht="21" customHeight="1">
      <c r="A211" s="1"/>
      <c r="B211" s="16"/>
      <c r="C211" s="17"/>
      <c r="D211" s="18"/>
      <c r="E211" s="16"/>
      <c r="F211" s="17"/>
      <c r="G211" s="17"/>
      <c r="H211" s="17"/>
      <c r="I211" s="17"/>
      <c r="J211" s="18"/>
      <c r="K211" s="16"/>
      <c r="L211" s="17"/>
      <c r="M211" s="17"/>
      <c r="N211" s="17"/>
      <c r="O211" s="17"/>
      <c r="P211" s="18"/>
      <c r="Q211" s="16" t="s">
        <v>59</v>
      </c>
      <c r="R211" s="17"/>
      <c r="S211" s="17"/>
      <c r="T211" s="17"/>
      <c r="U211" s="17"/>
      <c r="V211" s="18"/>
      <c r="W211" s="16"/>
      <c r="X211" s="17"/>
      <c r="Y211" s="17"/>
      <c r="Z211" s="17"/>
      <c r="AA211" s="17"/>
      <c r="AB211" s="18"/>
      <c r="AC211" s="16"/>
      <c r="AD211" s="17"/>
      <c r="AE211" s="17"/>
      <c r="AF211" s="17"/>
      <c r="AG211" s="17"/>
      <c r="AH211" s="17"/>
      <c r="AI211" s="16"/>
      <c r="AJ211" s="17"/>
      <c r="AK211" s="17"/>
      <c r="AL211" s="17"/>
      <c r="AM211" s="17"/>
      <c r="AN211" s="18"/>
      <c r="AO211" s="17" t="s">
        <v>726</v>
      </c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8"/>
      <c r="BF211" s="1"/>
    </row>
    <row r="212" spans="1:58" ht="21" customHeight="1">
      <c r="A212" s="1"/>
      <c r="B212" s="16"/>
      <c r="C212" s="17"/>
      <c r="D212" s="18"/>
      <c r="E212" s="16"/>
      <c r="F212" s="17"/>
      <c r="G212" s="17"/>
      <c r="H212" s="17"/>
      <c r="I212" s="17"/>
      <c r="J212" s="18"/>
      <c r="K212" s="16"/>
      <c r="L212" s="17"/>
      <c r="M212" s="17"/>
      <c r="N212" s="17"/>
      <c r="O212" s="17"/>
      <c r="P212" s="18"/>
      <c r="Q212" s="16" t="s">
        <v>61</v>
      </c>
      <c r="R212" s="17"/>
      <c r="S212" s="17"/>
      <c r="T212" s="17"/>
      <c r="U212" s="17"/>
      <c r="V212" s="18"/>
      <c r="W212" s="16"/>
      <c r="X212" s="17"/>
      <c r="Y212" s="17"/>
      <c r="Z212" s="17"/>
      <c r="AA212" s="17"/>
      <c r="AB212" s="18"/>
      <c r="AC212" s="16"/>
      <c r="AD212" s="17"/>
      <c r="AE212" s="17"/>
      <c r="AF212" s="17"/>
      <c r="AG212" s="17"/>
      <c r="AH212" s="17"/>
      <c r="AI212" s="16"/>
      <c r="AJ212" s="17"/>
      <c r="AK212" s="17"/>
      <c r="AL212" s="17"/>
      <c r="AM212" s="17"/>
      <c r="AN212" s="18"/>
      <c r="AO212" s="17" t="s">
        <v>752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8"/>
      <c r="BF212" s="1"/>
    </row>
    <row r="213" spans="1:58" ht="21" customHeight="1">
      <c r="A213" s="1"/>
      <c r="B213" s="16"/>
      <c r="C213" s="17"/>
      <c r="D213" s="18"/>
      <c r="E213" s="16"/>
      <c r="F213" s="17"/>
      <c r="G213" s="17"/>
      <c r="H213" s="17"/>
      <c r="I213" s="17"/>
      <c r="J213" s="18"/>
      <c r="K213" s="16"/>
      <c r="L213" s="17"/>
      <c r="M213" s="17"/>
      <c r="N213" s="17"/>
      <c r="O213" s="17"/>
      <c r="P213" s="18"/>
      <c r="Q213" s="16" t="s">
        <v>91</v>
      </c>
      <c r="R213" s="17"/>
      <c r="S213" s="17"/>
      <c r="T213" s="17"/>
      <c r="U213" s="17"/>
      <c r="V213" s="18"/>
      <c r="W213" s="16"/>
      <c r="X213" s="17"/>
      <c r="Y213" s="17"/>
      <c r="Z213" s="17"/>
      <c r="AA213" s="17"/>
      <c r="AB213" s="18"/>
      <c r="AC213" s="16"/>
      <c r="AD213" s="17"/>
      <c r="AE213" s="17"/>
      <c r="AF213" s="17"/>
      <c r="AG213" s="17"/>
      <c r="AH213" s="17"/>
      <c r="AI213" s="16"/>
      <c r="AJ213" s="17"/>
      <c r="AK213" s="17"/>
      <c r="AL213" s="17"/>
      <c r="AM213" s="17"/>
      <c r="AN213" s="18"/>
      <c r="AO213" s="17" t="s">
        <v>753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8"/>
      <c r="BF213" s="1"/>
    </row>
    <row r="214" spans="1:58" ht="21" customHeight="1">
      <c r="A214" s="1"/>
      <c r="B214" s="16"/>
      <c r="C214" s="17"/>
      <c r="D214" s="18"/>
      <c r="E214" s="16"/>
      <c r="F214" s="17"/>
      <c r="G214" s="17"/>
      <c r="H214" s="17"/>
      <c r="I214" s="17"/>
      <c r="J214" s="18"/>
      <c r="K214" s="17"/>
      <c r="L214" s="8"/>
      <c r="M214" s="17"/>
      <c r="N214" s="17"/>
      <c r="O214" s="17"/>
      <c r="P214" s="18"/>
      <c r="Q214" s="16" t="s">
        <v>65</v>
      </c>
      <c r="R214" s="17"/>
      <c r="S214" s="17"/>
      <c r="T214" s="17"/>
      <c r="U214" s="17"/>
      <c r="V214" s="18"/>
      <c r="W214" s="16"/>
      <c r="X214" s="17"/>
      <c r="Y214" s="17"/>
      <c r="Z214" s="17"/>
      <c r="AA214" s="17"/>
      <c r="AB214" s="18"/>
      <c r="AC214" s="16"/>
      <c r="AD214" s="17"/>
      <c r="AE214" s="17"/>
      <c r="AF214" s="17"/>
      <c r="AG214" s="17"/>
      <c r="AH214" s="17"/>
      <c r="AI214" s="16"/>
      <c r="AJ214" s="17"/>
      <c r="AK214" s="17"/>
      <c r="AL214" s="17"/>
      <c r="AM214" s="17"/>
      <c r="AN214" s="18"/>
      <c r="AO214" s="17" t="s">
        <v>754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8"/>
      <c r="BF214" s="1"/>
    </row>
    <row r="215" spans="1:58" ht="21" customHeight="1">
      <c r="A215" s="1"/>
      <c r="B215" s="16"/>
      <c r="C215" s="17"/>
      <c r="D215" s="18"/>
      <c r="E215" s="16"/>
      <c r="F215" s="17"/>
      <c r="G215" s="17"/>
      <c r="H215" s="17"/>
      <c r="I215" s="17"/>
      <c r="J215" s="18"/>
      <c r="K215" s="16"/>
      <c r="L215" s="17"/>
      <c r="M215" s="17"/>
      <c r="N215" s="17"/>
      <c r="O215" s="17"/>
      <c r="P215" s="18"/>
      <c r="Q215" s="16" t="s">
        <v>66</v>
      </c>
      <c r="R215" s="17"/>
      <c r="S215" s="17"/>
      <c r="T215" s="17"/>
      <c r="U215" s="17"/>
      <c r="V215" s="18"/>
      <c r="W215" s="16"/>
      <c r="X215" s="17"/>
      <c r="Y215" s="17"/>
      <c r="Z215" s="17"/>
      <c r="AA215" s="17"/>
      <c r="AB215" s="18"/>
      <c r="AC215" s="16"/>
      <c r="AD215" s="17"/>
      <c r="AE215" s="17"/>
      <c r="AF215" s="17"/>
      <c r="AG215" s="17"/>
      <c r="AH215" s="17"/>
      <c r="AI215" s="16"/>
      <c r="AJ215" s="17"/>
      <c r="AK215" s="17"/>
      <c r="AL215" s="17"/>
      <c r="AM215" s="17"/>
      <c r="AN215" s="18"/>
      <c r="AO215" s="17" t="s">
        <v>755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8"/>
      <c r="BF215" s="1"/>
    </row>
    <row r="216" spans="1:58" ht="21" customHeight="1">
      <c r="A216" s="1"/>
      <c r="B216" s="16"/>
      <c r="C216" s="17"/>
      <c r="D216" s="18"/>
      <c r="E216" s="16"/>
      <c r="F216" s="17"/>
      <c r="G216" s="17"/>
      <c r="H216" s="17"/>
      <c r="I216" s="17"/>
      <c r="J216" s="18"/>
      <c r="K216" s="16"/>
      <c r="L216" s="17"/>
      <c r="M216" s="17"/>
      <c r="N216" s="17"/>
      <c r="O216" s="17"/>
      <c r="P216" s="18"/>
      <c r="Q216" s="16" t="s">
        <v>26</v>
      </c>
      <c r="R216" s="17"/>
      <c r="S216" s="17"/>
      <c r="T216" s="17"/>
      <c r="U216" s="17"/>
      <c r="V216" s="18"/>
      <c r="W216" s="16"/>
      <c r="X216" s="17"/>
      <c r="Y216" s="17"/>
      <c r="Z216" s="17"/>
      <c r="AA216" s="17"/>
      <c r="AB216" s="18"/>
      <c r="AC216" s="16"/>
      <c r="AD216" s="17"/>
      <c r="AE216" s="17"/>
      <c r="AF216" s="17"/>
      <c r="AG216" s="17"/>
      <c r="AH216" s="17"/>
      <c r="AI216" s="16"/>
      <c r="AJ216" s="17"/>
      <c r="AK216" s="17"/>
      <c r="AL216" s="17"/>
      <c r="AM216" s="17"/>
      <c r="AN216" s="18"/>
      <c r="AO216" s="17" t="s">
        <v>756</v>
      </c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8"/>
      <c r="BF216" s="1"/>
    </row>
    <row r="217" spans="1:58" ht="21" customHeight="1">
      <c r="A217" s="1"/>
      <c r="B217" s="16"/>
      <c r="C217" s="17"/>
      <c r="D217" s="18"/>
      <c r="E217" s="16"/>
      <c r="F217" s="17"/>
      <c r="G217" s="17"/>
      <c r="H217" s="17"/>
      <c r="I217" s="17"/>
      <c r="J217" s="18"/>
      <c r="K217" s="16"/>
      <c r="L217" s="17"/>
      <c r="M217" s="17"/>
      <c r="N217" s="17"/>
      <c r="O217" s="17"/>
      <c r="P217" s="18"/>
      <c r="Q217" s="16" t="s">
        <v>68</v>
      </c>
      <c r="R217" s="17"/>
      <c r="S217" s="17"/>
      <c r="T217" s="17"/>
      <c r="U217" s="17"/>
      <c r="V217" s="18"/>
      <c r="W217" s="16"/>
      <c r="X217" s="17"/>
      <c r="Y217" s="17"/>
      <c r="Z217" s="17"/>
      <c r="AA217" s="17"/>
      <c r="AB217" s="18"/>
      <c r="AC217" s="16"/>
      <c r="AD217" s="17"/>
      <c r="AE217" s="17"/>
      <c r="AF217" s="17"/>
      <c r="AG217" s="17"/>
      <c r="AH217" s="17"/>
      <c r="AI217" s="16"/>
      <c r="AJ217" s="17"/>
      <c r="AK217" s="17"/>
      <c r="AL217" s="17"/>
      <c r="AM217" s="17"/>
      <c r="AN217" s="18"/>
      <c r="AO217" s="17" t="s">
        <v>757</v>
      </c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8"/>
      <c r="BF217" s="1"/>
    </row>
    <row r="218" spans="1:58" ht="21" customHeight="1">
      <c r="A218" s="1"/>
      <c r="B218" s="16"/>
      <c r="C218" s="17"/>
      <c r="D218" s="18"/>
      <c r="E218" s="16"/>
      <c r="F218" s="17"/>
      <c r="G218" s="17"/>
      <c r="H218" s="17"/>
      <c r="I218" s="17"/>
      <c r="J218" s="18"/>
      <c r="K218" s="16"/>
      <c r="L218" s="17"/>
      <c r="M218" s="17"/>
      <c r="N218" s="17"/>
      <c r="O218" s="17"/>
      <c r="P218" s="18"/>
      <c r="Q218" s="16" t="s">
        <v>33</v>
      </c>
      <c r="R218" s="17"/>
      <c r="S218" s="17"/>
      <c r="T218" s="17"/>
      <c r="U218" s="17"/>
      <c r="V218" s="18"/>
      <c r="W218" s="16"/>
      <c r="X218" s="17"/>
      <c r="Y218" s="17"/>
      <c r="Z218" s="17"/>
      <c r="AA218" s="17"/>
      <c r="AB218" s="18"/>
      <c r="AC218" s="16"/>
      <c r="AD218" s="17"/>
      <c r="AE218" s="17"/>
      <c r="AF218" s="17"/>
      <c r="AG218" s="17"/>
      <c r="AH218" s="17"/>
      <c r="AI218" s="16"/>
      <c r="AJ218" s="17"/>
      <c r="AK218" s="17"/>
      <c r="AL218" s="17"/>
      <c r="AM218" s="17"/>
      <c r="AN218" s="18"/>
      <c r="AO218" s="17" t="s">
        <v>758</v>
      </c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8"/>
      <c r="BF218" s="1"/>
    </row>
    <row r="219" spans="1:58" ht="21" customHeight="1">
      <c r="A219" s="1"/>
      <c r="B219" s="16"/>
      <c r="C219" s="17"/>
      <c r="D219" s="18"/>
      <c r="E219" s="16"/>
      <c r="F219" s="17"/>
      <c r="G219" s="17"/>
      <c r="H219" s="17"/>
      <c r="I219" s="17"/>
      <c r="J219" s="18"/>
      <c r="K219" s="16"/>
      <c r="L219" s="17"/>
      <c r="M219" s="17"/>
      <c r="N219" s="17"/>
      <c r="O219" s="17"/>
      <c r="P219" s="18"/>
      <c r="Q219" s="16" t="s">
        <v>36</v>
      </c>
      <c r="R219" s="17"/>
      <c r="S219" s="17"/>
      <c r="T219" s="17"/>
      <c r="U219" s="17"/>
      <c r="V219" s="18"/>
      <c r="W219" s="16"/>
      <c r="X219" s="17"/>
      <c r="Y219" s="17"/>
      <c r="Z219" s="17"/>
      <c r="AA219" s="17"/>
      <c r="AB219" s="18"/>
      <c r="AC219" s="16"/>
      <c r="AD219" s="17"/>
      <c r="AE219" s="17"/>
      <c r="AF219" s="17"/>
      <c r="AG219" s="17"/>
      <c r="AH219" s="17"/>
      <c r="AI219" s="16"/>
      <c r="AJ219" s="17"/>
      <c r="AK219" s="17"/>
      <c r="AL219" s="17"/>
      <c r="AM219" s="17"/>
      <c r="AN219" s="18"/>
      <c r="AO219" s="17" t="s">
        <v>759</v>
      </c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8"/>
      <c r="BF219" s="1"/>
    </row>
    <row r="220" spans="1:58" ht="21" customHeight="1">
      <c r="A220" s="1"/>
      <c r="B220" s="16"/>
      <c r="C220" s="17"/>
      <c r="D220" s="18"/>
      <c r="E220" s="16"/>
      <c r="F220" s="17"/>
      <c r="G220" s="17"/>
      <c r="H220" s="17"/>
      <c r="I220" s="17"/>
      <c r="J220" s="18"/>
      <c r="K220" s="16"/>
      <c r="L220" s="17"/>
      <c r="M220" s="17"/>
      <c r="N220" s="17"/>
      <c r="O220" s="17"/>
      <c r="P220" s="18"/>
      <c r="Q220" s="16" t="s">
        <v>69</v>
      </c>
      <c r="R220" s="17"/>
      <c r="S220" s="17"/>
      <c r="T220" s="17"/>
      <c r="U220" s="17"/>
      <c r="V220" s="18"/>
      <c r="W220" s="16"/>
      <c r="X220" s="17"/>
      <c r="Y220" s="17"/>
      <c r="Z220" s="17"/>
      <c r="AA220" s="17"/>
      <c r="AB220" s="18"/>
      <c r="AC220" s="16"/>
      <c r="AD220" s="17"/>
      <c r="AE220" s="17"/>
      <c r="AF220" s="17"/>
      <c r="AG220" s="17"/>
      <c r="AH220" s="17"/>
      <c r="AI220" s="16"/>
      <c r="AJ220" s="17"/>
      <c r="AK220" s="17"/>
      <c r="AL220" s="17"/>
      <c r="AM220" s="17"/>
      <c r="AN220" s="18"/>
      <c r="AO220" s="17" t="s">
        <v>765</v>
      </c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8"/>
      <c r="BF220" s="1"/>
    </row>
    <row r="221" spans="1:58" ht="21" customHeight="1">
      <c r="A221" s="1"/>
      <c r="B221" s="16"/>
      <c r="C221" s="17"/>
      <c r="D221" s="18"/>
      <c r="E221" s="16"/>
      <c r="F221" s="17"/>
      <c r="G221" s="17"/>
      <c r="H221" s="17"/>
      <c r="I221" s="17"/>
      <c r="J221" s="18"/>
      <c r="K221" s="16"/>
      <c r="L221" s="17"/>
      <c r="M221" s="17"/>
      <c r="N221" s="17"/>
      <c r="O221" s="17"/>
      <c r="P221" s="18"/>
      <c r="Q221" s="16" t="s">
        <v>70</v>
      </c>
      <c r="R221" s="17"/>
      <c r="S221" s="17"/>
      <c r="T221" s="17"/>
      <c r="U221" s="17"/>
      <c r="V221" s="18"/>
      <c r="W221" s="16"/>
      <c r="X221" s="17"/>
      <c r="Y221" s="17"/>
      <c r="Z221" s="17"/>
      <c r="AA221" s="17"/>
      <c r="AB221" s="18"/>
      <c r="AC221" s="16"/>
      <c r="AD221" s="17"/>
      <c r="AE221" s="17"/>
      <c r="AF221" s="17"/>
      <c r="AG221" s="17"/>
      <c r="AH221" s="17"/>
      <c r="AI221" s="16"/>
      <c r="AJ221" s="17"/>
      <c r="AK221" s="17"/>
      <c r="AL221" s="17"/>
      <c r="AM221" s="17"/>
      <c r="AN221" s="18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8"/>
      <c r="BF221" s="1"/>
    </row>
    <row r="222" spans="1:58" ht="21" customHeight="1">
      <c r="A222" s="1"/>
      <c r="B222" s="16"/>
      <c r="C222" s="17"/>
      <c r="D222" s="18"/>
      <c r="E222" s="16"/>
      <c r="F222" s="17"/>
      <c r="G222" s="17"/>
      <c r="H222" s="17"/>
      <c r="I222" s="17"/>
      <c r="J222" s="18"/>
      <c r="K222" s="16"/>
      <c r="L222" s="17"/>
      <c r="M222" s="17"/>
      <c r="N222" s="17"/>
      <c r="O222" s="17"/>
      <c r="P222" s="18"/>
      <c r="Q222" s="16" t="s">
        <v>41</v>
      </c>
      <c r="R222" s="17"/>
      <c r="S222" s="17"/>
      <c r="T222" s="17"/>
      <c r="U222" s="17"/>
      <c r="V222" s="18"/>
      <c r="W222" s="16"/>
      <c r="X222" s="17"/>
      <c r="Y222" s="17"/>
      <c r="Z222" s="17"/>
      <c r="AA222" s="17"/>
      <c r="AB222" s="18"/>
      <c r="AC222" s="16"/>
      <c r="AD222" s="17"/>
      <c r="AE222" s="17"/>
      <c r="AF222" s="17"/>
      <c r="AG222" s="17"/>
      <c r="AH222" s="17"/>
      <c r="AI222" s="16"/>
      <c r="AJ222" s="17"/>
      <c r="AK222" s="17"/>
      <c r="AL222" s="17"/>
      <c r="AM222" s="17"/>
      <c r="AN222" s="18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8"/>
      <c r="BF222" s="1"/>
    </row>
    <row r="223" spans="1:58" ht="21" customHeight="1">
      <c r="A223" s="1"/>
      <c r="B223" s="16"/>
      <c r="C223" s="17"/>
      <c r="D223" s="18"/>
      <c r="E223" s="16"/>
      <c r="F223" s="17"/>
      <c r="G223" s="17"/>
      <c r="H223" s="17"/>
      <c r="I223" s="17"/>
      <c r="J223" s="18"/>
      <c r="K223" s="16"/>
      <c r="L223" s="17"/>
      <c r="M223" s="17"/>
      <c r="N223" s="17"/>
      <c r="O223" s="17"/>
      <c r="P223" s="18"/>
      <c r="Q223" s="16" t="s">
        <v>45</v>
      </c>
      <c r="R223" s="17"/>
      <c r="S223" s="17"/>
      <c r="T223" s="17"/>
      <c r="U223" s="17"/>
      <c r="V223" s="18"/>
      <c r="W223" s="16"/>
      <c r="X223" s="17"/>
      <c r="Y223" s="17"/>
      <c r="Z223" s="17"/>
      <c r="AA223" s="17"/>
      <c r="AB223" s="18"/>
      <c r="AC223" s="16"/>
      <c r="AD223" s="17"/>
      <c r="AE223" s="17"/>
      <c r="AF223" s="17"/>
      <c r="AG223" s="17"/>
      <c r="AH223" s="17"/>
      <c r="AI223" s="16"/>
      <c r="AJ223" s="17"/>
      <c r="AK223" s="17"/>
      <c r="AL223" s="17"/>
      <c r="AM223" s="17"/>
      <c r="AN223" s="18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8"/>
      <c r="BF223" s="1"/>
    </row>
    <row r="224" spans="1:58" ht="21" customHeight="1">
      <c r="A224" s="1"/>
      <c r="B224" s="16"/>
      <c r="C224" s="17"/>
      <c r="D224" s="18"/>
      <c r="E224" s="16"/>
      <c r="F224" s="17"/>
      <c r="G224" s="17"/>
      <c r="H224" s="17"/>
      <c r="I224" s="17"/>
      <c r="J224" s="18"/>
      <c r="K224" s="16"/>
      <c r="L224" s="17"/>
      <c r="M224" s="17"/>
      <c r="N224" s="17"/>
      <c r="O224" s="17"/>
      <c r="P224" s="18"/>
      <c r="Q224" s="16" t="s">
        <v>51</v>
      </c>
      <c r="R224" s="17"/>
      <c r="S224" s="17"/>
      <c r="T224" s="17"/>
      <c r="U224" s="17"/>
      <c r="V224" s="18"/>
      <c r="W224" s="16"/>
      <c r="X224" s="17"/>
      <c r="Y224" s="17"/>
      <c r="Z224" s="17"/>
      <c r="AA224" s="17"/>
      <c r="AB224" s="18"/>
      <c r="AC224" s="16"/>
      <c r="AD224" s="17"/>
      <c r="AE224" s="17"/>
      <c r="AF224" s="17"/>
      <c r="AG224" s="17"/>
      <c r="AH224" s="17"/>
      <c r="AI224" s="16"/>
      <c r="AJ224" s="17"/>
      <c r="AK224" s="17"/>
      <c r="AL224" s="17"/>
      <c r="AM224" s="17"/>
      <c r="AN224" s="18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8"/>
      <c r="BF224" s="1"/>
    </row>
    <row r="225" spans="1:58" ht="21" customHeight="1">
      <c r="A225" s="1"/>
      <c r="B225" s="16"/>
      <c r="C225" s="17"/>
      <c r="D225" s="18"/>
      <c r="E225" s="16"/>
      <c r="F225" s="17"/>
      <c r="G225" s="17"/>
      <c r="H225" s="17"/>
      <c r="I225" s="17"/>
      <c r="J225" s="18"/>
      <c r="K225" s="16"/>
      <c r="L225" s="17"/>
      <c r="M225" s="17"/>
      <c r="N225" s="17"/>
      <c r="O225" s="17"/>
      <c r="P225" s="18"/>
      <c r="Q225" s="16" t="s">
        <v>53</v>
      </c>
      <c r="R225" s="17"/>
      <c r="S225" s="17"/>
      <c r="T225" s="17"/>
      <c r="U225" s="17"/>
      <c r="V225" s="18"/>
      <c r="W225" s="16"/>
      <c r="X225" s="17"/>
      <c r="Y225" s="17"/>
      <c r="Z225" s="17"/>
      <c r="AA225" s="17"/>
      <c r="AB225" s="18"/>
      <c r="AC225" s="16"/>
      <c r="AD225" s="17"/>
      <c r="AE225" s="17"/>
      <c r="AF225" s="17"/>
      <c r="AG225" s="17"/>
      <c r="AH225" s="17"/>
      <c r="AI225" s="16"/>
      <c r="AJ225" s="17"/>
      <c r="AK225" s="17"/>
      <c r="AL225" s="17"/>
      <c r="AM225" s="17"/>
      <c r="AN225" s="18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8"/>
      <c r="BF225" s="1"/>
    </row>
    <row r="226" spans="1:58" ht="21" customHeight="1">
      <c r="A226" s="1"/>
      <c r="B226" s="16"/>
      <c r="C226" s="17"/>
      <c r="D226" s="18"/>
      <c r="E226" s="16"/>
      <c r="F226" s="17"/>
      <c r="G226" s="17"/>
      <c r="H226" s="17"/>
      <c r="I226" s="17"/>
      <c r="J226" s="18"/>
      <c r="K226" s="16"/>
      <c r="L226" s="17"/>
      <c r="M226" s="17"/>
      <c r="N226" s="17"/>
      <c r="O226" s="17"/>
      <c r="P226" s="18"/>
      <c r="Q226" s="16" t="s">
        <v>55</v>
      </c>
      <c r="R226" s="17"/>
      <c r="S226" s="17"/>
      <c r="T226" s="17"/>
      <c r="U226" s="17"/>
      <c r="V226" s="18"/>
      <c r="W226" s="16"/>
      <c r="X226" s="17"/>
      <c r="Y226" s="17"/>
      <c r="Z226" s="17"/>
      <c r="AA226" s="17"/>
      <c r="AB226" s="18"/>
      <c r="AC226" s="16"/>
      <c r="AD226" s="17"/>
      <c r="AE226" s="17"/>
      <c r="AF226" s="17"/>
      <c r="AG226" s="17"/>
      <c r="AH226" s="17"/>
      <c r="AI226" s="16"/>
      <c r="AJ226" s="17"/>
      <c r="AK226" s="17"/>
      <c r="AL226" s="17"/>
      <c r="AM226" s="17"/>
      <c r="AN226" s="18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8"/>
      <c r="BF226" s="1"/>
    </row>
    <row r="227" spans="1:58" ht="21" customHeight="1">
      <c r="A227" s="1"/>
      <c r="B227" s="16"/>
      <c r="C227" s="17"/>
      <c r="D227" s="18"/>
      <c r="E227" s="16"/>
      <c r="F227" s="17"/>
      <c r="G227" s="17"/>
      <c r="H227" s="17"/>
      <c r="I227" s="17"/>
      <c r="J227" s="18"/>
      <c r="K227" s="16"/>
      <c r="L227" s="17"/>
      <c r="M227" s="17"/>
      <c r="N227" s="17"/>
      <c r="O227" s="17"/>
      <c r="P227" s="18"/>
      <c r="Q227" s="16" t="s">
        <v>58</v>
      </c>
      <c r="R227" s="17"/>
      <c r="S227" s="17"/>
      <c r="T227" s="17"/>
      <c r="U227" s="17"/>
      <c r="V227" s="18"/>
      <c r="W227" s="16"/>
      <c r="X227" s="17"/>
      <c r="Y227" s="17"/>
      <c r="Z227" s="17"/>
      <c r="AA227" s="17"/>
      <c r="AB227" s="18"/>
      <c r="AC227" s="16"/>
      <c r="AD227" s="17"/>
      <c r="AE227" s="17"/>
      <c r="AF227" s="17"/>
      <c r="AG227" s="17"/>
      <c r="AH227" s="17"/>
      <c r="AI227" s="16"/>
      <c r="AJ227" s="17"/>
      <c r="AK227" s="17"/>
      <c r="AL227" s="17"/>
      <c r="AM227" s="17"/>
      <c r="AN227" s="18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8"/>
      <c r="BF227" s="1"/>
    </row>
    <row r="228" spans="1:58" ht="21" customHeight="1">
      <c r="A228" s="1"/>
      <c r="B228" s="16"/>
      <c r="C228" s="17"/>
      <c r="D228" s="18"/>
      <c r="E228" s="16"/>
      <c r="F228" s="17"/>
      <c r="G228" s="17"/>
      <c r="H228" s="17"/>
      <c r="I228" s="17"/>
      <c r="J228" s="18"/>
      <c r="K228" s="16"/>
      <c r="L228" s="17"/>
      <c r="M228" s="17"/>
      <c r="N228" s="17"/>
      <c r="O228" s="17"/>
      <c r="P228" s="18"/>
      <c r="Q228" s="16" t="s">
        <v>60</v>
      </c>
      <c r="R228" s="17"/>
      <c r="S228" s="17"/>
      <c r="T228" s="17"/>
      <c r="U228" s="17"/>
      <c r="V228" s="18"/>
      <c r="W228" s="16"/>
      <c r="X228" s="17"/>
      <c r="Y228" s="17"/>
      <c r="Z228" s="17"/>
      <c r="AA228" s="17"/>
      <c r="AB228" s="18"/>
      <c r="AC228" s="16"/>
      <c r="AD228" s="17"/>
      <c r="AE228" s="17"/>
      <c r="AF228" s="17"/>
      <c r="AG228" s="17"/>
      <c r="AH228" s="17"/>
      <c r="AI228" s="16"/>
      <c r="AJ228" s="17"/>
      <c r="AK228" s="17"/>
      <c r="AL228" s="17"/>
      <c r="AM228" s="17"/>
      <c r="AN228" s="18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8"/>
      <c r="BF228" s="1"/>
    </row>
    <row r="229" spans="1:58" ht="21" customHeight="1">
      <c r="A229" s="1"/>
      <c r="B229" s="16"/>
      <c r="C229" s="17"/>
      <c r="D229" s="18"/>
      <c r="E229" s="16"/>
      <c r="F229" s="17"/>
      <c r="G229" s="17"/>
      <c r="H229" s="17"/>
      <c r="I229" s="17"/>
      <c r="J229" s="18"/>
      <c r="K229" s="16"/>
      <c r="L229" s="17"/>
      <c r="M229" s="17"/>
      <c r="N229" s="17"/>
      <c r="O229" s="17"/>
      <c r="P229" s="18"/>
      <c r="Q229" s="16" t="s">
        <v>71</v>
      </c>
      <c r="R229" s="17"/>
      <c r="S229" s="17"/>
      <c r="T229" s="17"/>
      <c r="U229" s="17"/>
      <c r="V229" s="18"/>
      <c r="W229" s="16"/>
      <c r="X229" s="17"/>
      <c r="Y229" s="17"/>
      <c r="Z229" s="17"/>
      <c r="AA229" s="17"/>
      <c r="AB229" s="18"/>
      <c r="AC229" s="16"/>
      <c r="AD229" s="17"/>
      <c r="AE229" s="17"/>
      <c r="AF229" s="17"/>
      <c r="AG229" s="17"/>
      <c r="AH229" s="17"/>
      <c r="AI229" s="16"/>
      <c r="AJ229" s="17"/>
      <c r="AK229" s="17"/>
      <c r="AL229" s="17"/>
      <c r="AM229" s="17"/>
      <c r="AN229" s="18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8"/>
      <c r="BF229" s="1"/>
    </row>
    <row r="230" spans="1:58" ht="21" customHeight="1">
      <c r="A230" s="1"/>
      <c r="B230" s="16"/>
      <c r="C230" s="17"/>
      <c r="D230" s="18"/>
      <c r="E230" s="16"/>
      <c r="F230" s="17"/>
      <c r="G230" s="17"/>
      <c r="H230" s="17"/>
      <c r="I230" s="17"/>
      <c r="J230" s="18"/>
      <c r="K230" s="16"/>
      <c r="L230" s="17"/>
      <c r="M230" s="17"/>
      <c r="N230" s="17"/>
      <c r="O230" s="17"/>
      <c r="P230" s="18"/>
      <c r="Q230" s="16" t="s">
        <v>72</v>
      </c>
      <c r="R230" s="17"/>
      <c r="S230" s="17"/>
      <c r="T230" s="17"/>
      <c r="U230" s="17"/>
      <c r="V230" s="18"/>
      <c r="W230" s="16"/>
      <c r="X230" s="17"/>
      <c r="Y230" s="17"/>
      <c r="Z230" s="17"/>
      <c r="AA230" s="17"/>
      <c r="AB230" s="18"/>
      <c r="AC230" s="16"/>
      <c r="AD230" s="17"/>
      <c r="AE230" s="17"/>
      <c r="AF230" s="17"/>
      <c r="AG230" s="17"/>
      <c r="AH230" s="17"/>
      <c r="AI230" s="16"/>
      <c r="AJ230" s="17"/>
      <c r="AK230" s="17"/>
      <c r="AL230" s="17"/>
      <c r="AM230" s="17"/>
      <c r="AN230" s="18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8"/>
      <c r="BF230" s="1"/>
    </row>
    <row r="231" spans="1:58" ht="21" customHeight="1">
      <c r="A231" s="1"/>
      <c r="B231" s="16"/>
      <c r="C231" s="17"/>
      <c r="D231" s="18"/>
      <c r="E231" s="16"/>
      <c r="F231" s="17"/>
      <c r="G231" s="17"/>
      <c r="H231" s="17"/>
      <c r="I231" s="17"/>
      <c r="J231" s="18"/>
      <c r="K231" s="16"/>
      <c r="L231" s="17"/>
      <c r="M231" s="17"/>
      <c r="N231" s="17"/>
      <c r="O231" s="17"/>
      <c r="P231" s="18"/>
      <c r="Q231" s="16" t="s">
        <v>93</v>
      </c>
      <c r="R231" s="17"/>
      <c r="S231" s="17"/>
      <c r="T231" s="17"/>
      <c r="U231" s="17"/>
      <c r="V231" s="18"/>
      <c r="W231" s="16"/>
      <c r="X231" s="17"/>
      <c r="Y231" s="17"/>
      <c r="Z231" s="17"/>
      <c r="AA231" s="17"/>
      <c r="AB231" s="18"/>
      <c r="AC231" s="16"/>
      <c r="AD231" s="17"/>
      <c r="AE231" s="17"/>
      <c r="AF231" s="17"/>
      <c r="AG231" s="17"/>
      <c r="AH231" s="17"/>
      <c r="AI231" s="16"/>
      <c r="AJ231" s="17"/>
      <c r="AK231" s="17"/>
      <c r="AL231" s="17"/>
      <c r="AM231" s="17"/>
      <c r="AN231" s="18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8"/>
      <c r="BF231" s="1"/>
    </row>
    <row r="232" spans="1:58" ht="21" customHeight="1">
      <c r="A232" s="1"/>
      <c r="B232" s="16"/>
      <c r="C232" s="17"/>
      <c r="D232" s="18"/>
      <c r="E232" s="16"/>
      <c r="F232" s="17"/>
      <c r="G232" s="17"/>
      <c r="H232" s="17"/>
      <c r="I232" s="17"/>
      <c r="J232" s="18"/>
      <c r="K232" s="16"/>
      <c r="L232" s="17"/>
      <c r="M232" s="17"/>
      <c r="N232" s="17"/>
      <c r="O232" s="17"/>
      <c r="P232" s="18"/>
      <c r="Q232" s="16" t="s">
        <v>74</v>
      </c>
      <c r="R232" s="17"/>
      <c r="S232" s="17"/>
      <c r="T232" s="17"/>
      <c r="U232" s="17"/>
      <c r="V232" s="18"/>
      <c r="W232" s="16"/>
      <c r="X232" s="17"/>
      <c r="Y232" s="17"/>
      <c r="Z232" s="17"/>
      <c r="AA232" s="17"/>
      <c r="AB232" s="18"/>
      <c r="AC232" s="16"/>
      <c r="AD232" s="17"/>
      <c r="AE232" s="17"/>
      <c r="AF232" s="17"/>
      <c r="AG232" s="17"/>
      <c r="AH232" s="17"/>
      <c r="AI232" s="16"/>
      <c r="AJ232" s="17"/>
      <c r="AK232" s="17"/>
      <c r="AL232" s="17"/>
      <c r="AM232" s="17"/>
      <c r="AN232" s="18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8"/>
      <c r="BF232" s="1"/>
    </row>
    <row r="233" spans="1:58" ht="21" customHeight="1">
      <c r="A233" s="1"/>
      <c r="B233" s="16"/>
      <c r="C233" s="17"/>
      <c r="D233" s="18"/>
      <c r="E233" s="16"/>
      <c r="F233" s="17"/>
      <c r="G233" s="17"/>
      <c r="H233" s="17"/>
      <c r="I233" s="17"/>
      <c r="J233" s="18"/>
      <c r="K233" s="16"/>
      <c r="L233" s="17"/>
      <c r="M233" s="17"/>
      <c r="N233" s="17"/>
      <c r="O233" s="17"/>
      <c r="P233" s="18"/>
      <c r="Q233" s="16" t="s">
        <v>94</v>
      </c>
      <c r="R233" s="17"/>
      <c r="S233" s="17"/>
      <c r="T233" s="17"/>
      <c r="U233" s="17"/>
      <c r="V233" s="18"/>
      <c r="W233" s="16"/>
      <c r="X233" s="17"/>
      <c r="Y233" s="17"/>
      <c r="Z233" s="17"/>
      <c r="AA233" s="17"/>
      <c r="AB233" s="18"/>
      <c r="AC233" s="16"/>
      <c r="AD233" s="17"/>
      <c r="AE233" s="17"/>
      <c r="AF233" s="17"/>
      <c r="AG233" s="17"/>
      <c r="AH233" s="17"/>
      <c r="AI233" s="16"/>
      <c r="AJ233" s="17"/>
      <c r="AK233" s="17"/>
      <c r="AL233" s="17"/>
      <c r="AM233" s="17"/>
      <c r="AN233" s="18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8"/>
      <c r="BF233" s="1"/>
    </row>
    <row r="234" spans="1:58" ht="21" customHeight="1">
      <c r="A234" s="1"/>
      <c r="B234" s="16"/>
      <c r="C234" s="17"/>
      <c r="D234" s="18"/>
      <c r="E234" s="16"/>
      <c r="F234" s="17"/>
      <c r="G234" s="17"/>
      <c r="H234" s="17"/>
      <c r="I234" s="17"/>
      <c r="J234" s="18"/>
      <c r="K234" s="16"/>
      <c r="L234" s="17"/>
      <c r="M234" s="17"/>
      <c r="N234" s="17"/>
      <c r="O234" s="17"/>
      <c r="P234" s="18"/>
      <c r="Q234" s="16" t="s">
        <v>77</v>
      </c>
      <c r="R234" s="17"/>
      <c r="S234" s="17"/>
      <c r="T234" s="17"/>
      <c r="U234" s="17"/>
      <c r="V234" s="18"/>
      <c r="W234" s="16"/>
      <c r="X234" s="17"/>
      <c r="Y234" s="17"/>
      <c r="Z234" s="17"/>
      <c r="AA234" s="17"/>
      <c r="AB234" s="18"/>
      <c r="AC234" s="16"/>
      <c r="AD234" s="17"/>
      <c r="AE234" s="17"/>
      <c r="AF234" s="17"/>
      <c r="AG234" s="17"/>
      <c r="AH234" s="17"/>
      <c r="AI234" s="16"/>
      <c r="AJ234" s="17"/>
      <c r="AK234" s="17"/>
      <c r="AL234" s="17"/>
      <c r="AM234" s="17"/>
      <c r="AN234" s="18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8"/>
      <c r="BF234" s="1"/>
    </row>
    <row r="235" spans="1:58" ht="21" customHeight="1">
      <c r="A235" s="1"/>
      <c r="B235" s="51"/>
      <c r="C235" s="52"/>
      <c r="D235" s="53"/>
      <c r="E235" s="51"/>
      <c r="F235" s="52"/>
      <c r="G235" s="52"/>
      <c r="H235" s="52"/>
      <c r="I235" s="52"/>
      <c r="J235" s="53"/>
      <c r="K235" s="51"/>
      <c r="L235" s="52"/>
      <c r="M235" s="52"/>
      <c r="N235" s="52"/>
      <c r="O235" s="52"/>
      <c r="P235" s="53"/>
      <c r="Q235" s="51" t="s">
        <v>718</v>
      </c>
      <c r="R235" s="52"/>
      <c r="S235" s="52"/>
      <c r="T235" s="52"/>
      <c r="U235" s="52"/>
      <c r="V235" s="53"/>
      <c r="W235" s="51"/>
      <c r="X235" s="52"/>
      <c r="Y235" s="52"/>
      <c r="Z235" s="52"/>
      <c r="AA235" s="52"/>
      <c r="AB235" s="53"/>
      <c r="AC235" s="51"/>
      <c r="AD235" s="52"/>
      <c r="AE235" s="52"/>
      <c r="AF235" s="52"/>
      <c r="AG235" s="52"/>
      <c r="AH235" s="52"/>
      <c r="AI235" s="51"/>
      <c r="AJ235" s="52"/>
      <c r="AK235" s="52"/>
      <c r="AL235" s="52"/>
      <c r="AM235" s="52"/>
      <c r="AN235" s="53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3"/>
      <c r="BF235" s="1"/>
    </row>
    <row r="236" spans="1:58" ht="21" customHeight="1">
      <c r="A236" s="1"/>
      <c r="B236" s="61" t="s">
        <v>863</v>
      </c>
      <c r="C236" s="62"/>
      <c r="D236" s="63"/>
      <c r="E236" s="61" t="s">
        <v>720</v>
      </c>
      <c r="F236" s="64"/>
      <c r="G236" s="64"/>
      <c r="H236" s="64"/>
      <c r="I236" s="64"/>
      <c r="J236" s="64"/>
      <c r="K236" s="66"/>
      <c r="L236" s="64"/>
      <c r="M236" s="64"/>
      <c r="N236" s="64"/>
      <c r="O236" s="64"/>
      <c r="P236" s="67"/>
      <c r="Q236" s="64" t="s">
        <v>767</v>
      </c>
      <c r="R236" s="64"/>
      <c r="S236" s="64"/>
      <c r="T236" s="64"/>
      <c r="U236" s="64"/>
      <c r="V236" s="64"/>
      <c r="W236" s="66"/>
      <c r="X236" s="64"/>
      <c r="Y236" s="64"/>
      <c r="Z236" s="64"/>
      <c r="AA236" s="64"/>
      <c r="AB236" s="64"/>
      <c r="AC236" s="61" t="s">
        <v>521</v>
      </c>
      <c r="AD236" s="62"/>
      <c r="AE236" s="62"/>
      <c r="AF236" s="62"/>
      <c r="AG236" s="62"/>
      <c r="AH236" s="62"/>
      <c r="AI236" s="61" t="s">
        <v>766</v>
      </c>
      <c r="AJ236" s="64"/>
      <c r="AK236" s="64"/>
      <c r="AL236" s="64"/>
      <c r="AM236" s="64"/>
      <c r="AN236" s="64"/>
      <c r="AO236" s="66" t="s">
        <v>768</v>
      </c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5"/>
      <c r="BF236" s="1"/>
    </row>
    <row r="237" spans="1:58" ht="21" customHeight="1">
      <c r="A237" s="1"/>
      <c r="B237" s="13" t="s">
        <v>861</v>
      </c>
      <c r="C237" s="14"/>
      <c r="D237" s="15"/>
      <c r="E237" s="13" t="s">
        <v>862</v>
      </c>
      <c r="F237" s="14"/>
      <c r="G237" s="14"/>
      <c r="H237" s="14"/>
      <c r="I237" s="14"/>
      <c r="J237" s="15"/>
      <c r="K237" s="13"/>
      <c r="L237" s="14"/>
      <c r="M237" s="14"/>
      <c r="N237" s="14"/>
      <c r="O237" s="14"/>
      <c r="P237" s="15"/>
      <c r="Q237" s="13" t="s">
        <v>83</v>
      </c>
      <c r="R237" s="14"/>
      <c r="S237" s="14"/>
      <c r="T237" s="14"/>
      <c r="U237" s="14"/>
      <c r="V237" s="15"/>
      <c r="W237" s="13"/>
      <c r="X237" s="14"/>
      <c r="Y237" s="14"/>
      <c r="Z237" s="14"/>
      <c r="AA237" s="14"/>
      <c r="AB237" s="15"/>
      <c r="AC237" s="13" t="s">
        <v>658</v>
      </c>
      <c r="AD237" s="14"/>
      <c r="AE237" s="14"/>
      <c r="AF237" s="14"/>
      <c r="AG237" s="14"/>
      <c r="AH237" s="14"/>
      <c r="AI237" s="13" t="s">
        <v>860</v>
      </c>
      <c r="AJ237" s="14"/>
      <c r="AK237" s="14"/>
      <c r="AL237" s="14"/>
      <c r="AM237" s="14"/>
      <c r="AN237" s="15"/>
      <c r="AO237" s="68" t="s">
        <v>864</v>
      </c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5"/>
      <c r="BF237" s="1"/>
    </row>
    <row r="238" spans="1:58" ht="21" customHeight="1">
      <c r="A238" s="1"/>
      <c r="B238" s="16"/>
      <c r="C238" s="17"/>
      <c r="D238" s="18"/>
      <c r="E238" s="16"/>
      <c r="F238" s="17"/>
      <c r="G238" s="17"/>
      <c r="H238" s="17"/>
      <c r="I238" s="17"/>
      <c r="J238" s="18"/>
      <c r="K238" s="16"/>
      <c r="L238" s="17"/>
      <c r="M238" s="17"/>
      <c r="N238" s="17"/>
      <c r="O238" s="17"/>
      <c r="P238" s="18"/>
      <c r="Q238" s="16" t="s">
        <v>46</v>
      </c>
      <c r="R238" s="17"/>
      <c r="S238" s="17"/>
      <c r="T238" s="17"/>
      <c r="U238" s="17"/>
      <c r="V238" s="18"/>
      <c r="W238" s="16"/>
      <c r="X238" s="17"/>
      <c r="Y238" s="17"/>
      <c r="Z238" s="17"/>
      <c r="AA238" s="17"/>
      <c r="AB238" s="18"/>
      <c r="AC238" s="16"/>
      <c r="AD238" s="17"/>
      <c r="AE238" s="17"/>
      <c r="AF238" s="17"/>
      <c r="AG238" s="17"/>
      <c r="AH238" s="17"/>
      <c r="AI238" s="16"/>
      <c r="AJ238" s="17"/>
      <c r="AK238" s="17"/>
      <c r="AL238" s="17"/>
      <c r="AM238" s="17"/>
      <c r="AN238" s="18"/>
      <c r="AO238" s="69" t="s">
        <v>866</v>
      </c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8"/>
      <c r="BF238" s="1"/>
    </row>
    <row r="239" spans="1:58" ht="21" customHeight="1">
      <c r="A239" s="1"/>
      <c r="B239" s="16"/>
      <c r="C239" s="17"/>
      <c r="D239" s="18"/>
      <c r="E239" s="16"/>
      <c r="F239" s="17"/>
      <c r="G239" s="17"/>
      <c r="H239" s="17"/>
      <c r="I239" s="17"/>
      <c r="J239" s="18"/>
      <c r="K239" s="16"/>
      <c r="L239" s="17"/>
      <c r="M239" s="17"/>
      <c r="N239" s="17"/>
      <c r="O239" s="17"/>
      <c r="P239" s="18"/>
      <c r="Q239" s="16" t="s">
        <v>48</v>
      </c>
      <c r="R239" s="17"/>
      <c r="S239" s="17"/>
      <c r="T239" s="17"/>
      <c r="U239" s="17"/>
      <c r="V239" s="18"/>
      <c r="W239" s="16"/>
      <c r="X239" s="17"/>
      <c r="Y239" s="17"/>
      <c r="Z239" s="17"/>
      <c r="AA239" s="17"/>
      <c r="AB239" s="18"/>
      <c r="AC239" s="16"/>
      <c r="AD239" s="17"/>
      <c r="AE239" s="17"/>
      <c r="AF239" s="17"/>
      <c r="AG239" s="17"/>
      <c r="AH239" s="17"/>
      <c r="AI239" s="16"/>
      <c r="AJ239" s="17"/>
      <c r="AK239" s="17"/>
      <c r="AL239" s="17"/>
      <c r="AM239" s="17"/>
      <c r="AN239" s="18"/>
      <c r="AO239" s="17" t="s">
        <v>865</v>
      </c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8"/>
      <c r="BF239" s="1"/>
    </row>
    <row r="240" spans="1:58" ht="21" customHeight="1">
      <c r="A240" s="1"/>
      <c r="B240" s="16"/>
      <c r="C240" s="17"/>
      <c r="D240" s="18"/>
      <c r="E240" s="16"/>
      <c r="F240" s="17"/>
      <c r="G240" s="17"/>
      <c r="H240" s="17"/>
      <c r="I240" s="17"/>
      <c r="J240" s="18"/>
      <c r="K240" s="16"/>
      <c r="L240" s="17"/>
      <c r="M240" s="17"/>
      <c r="N240" s="17"/>
      <c r="O240" s="17"/>
      <c r="P240" s="18"/>
      <c r="Q240" s="16" t="s">
        <v>50</v>
      </c>
      <c r="R240" s="17"/>
      <c r="S240" s="17"/>
      <c r="T240" s="17"/>
      <c r="U240" s="17"/>
      <c r="V240" s="18"/>
      <c r="W240" s="16"/>
      <c r="X240" s="17"/>
      <c r="Y240" s="17"/>
      <c r="Z240" s="17"/>
      <c r="AA240" s="17"/>
      <c r="AB240" s="18"/>
      <c r="AC240" s="16"/>
      <c r="AD240" s="17"/>
      <c r="AE240" s="17"/>
      <c r="AF240" s="17"/>
      <c r="AG240" s="17"/>
      <c r="AH240" s="17"/>
      <c r="AI240" s="16"/>
      <c r="AJ240" s="17"/>
      <c r="AK240" s="17"/>
      <c r="AL240" s="17"/>
      <c r="AM240" s="17"/>
      <c r="AN240" s="18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8"/>
      <c r="BF240" s="1"/>
    </row>
    <row r="241" spans="1:58" ht="21" customHeight="1">
      <c r="A241" s="1"/>
      <c r="B241" s="16"/>
      <c r="C241" s="17"/>
      <c r="D241" s="18"/>
      <c r="E241" s="16"/>
      <c r="F241" s="17"/>
      <c r="G241" s="17"/>
      <c r="H241" s="17"/>
      <c r="I241" s="17"/>
      <c r="J241" s="18"/>
      <c r="K241" s="16"/>
      <c r="L241" s="17"/>
      <c r="M241" s="17"/>
      <c r="N241" s="17"/>
      <c r="O241" s="17"/>
      <c r="P241" s="18"/>
      <c r="Q241" s="16" t="s">
        <v>52</v>
      </c>
      <c r="R241" s="17"/>
      <c r="S241" s="17"/>
      <c r="T241" s="17"/>
      <c r="U241" s="17"/>
      <c r="V241" s="18"/>
      <c r="W241" s="16"/>
      <c r="X241" s="17"/>
      <c r="Y241" s="17"/>
      <c r="Z241" s="17"/>
      <c r="AA241" s="17"/>
      <c r="AB241" s="18"/>
      <c r="AC241" s="16"/>
      <c r="AD241" s="17"/>
      <c r="AE241" s="17"/>
      <c r="AF241" s="17"/>
      <c r="AG241" s="17"/>
      <c r="AH241" s="17"/>
      <c r="AI241" s="16"/>
      <c r="AJ241" s="17"/>
      <c r="AK241" s="17"/>
      <c r="AL241" s="17"/>
      <c r="AM241" s="17"/>
      <c r="AN241" s="18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8"/>
      <c r="BF241" s="1"/>
    </row>
    <row r="242" spans="1:58" ht="21" customHeight="1">
      <c r="A242" s="1"/>
      <c r="B242" s="16"/>
      <c r="C242" s="17"/>
      <c r="D242" s="18"/>
      <c r="E242" s="16"/>
      <c r="F242" s="17"/>
      <c r="G242" s="17"/>
      <c r="H242" s="17"/>
      <c r="I242" s="17"/>
      <c r="J242" s="18"/>
      <c r="K242" s="16"/>
      <c r="L242" s="17"/>
      <c r="M242" s="17"/>
      <c r="N242" s="17"/>
      <c r="O242" s="17"/>
      <c r="P242" s="18"/>
      <c r="Q242" s="16" t="s">
        <v>90</v>
      </c>
      <c r="R242" s="17"/>
      <c r="S242" s="17"/>
      <c r="T242" s="17"/>
      <c r="U242" s="17"/>
      <c r="V242" s="18"/>
      <c r="W242" s="16"/>
      <c r="X242" s="17"/>
      <c r="Y242" s="17"/>
      <c r="Z242" s="17"/>
      <c r="AA242" s="17"/>
      <c r="AB242" s="18"/>
      <c r="AC242" s="16"/>
      <c r="AD242" s="17"/>
      <c r="AE242" s="17"/>
      <c r="AF242" s="17"/>
      <c r="AG242" s="17"/>
      <c r="AH242" s="17"/>
      <c r="AI242" s="16"/>
      <c r="AJ242" s="17"/>
      <c r="AK242" s="17"/>
      <c r="AL242" s="17"/>
      <c r="AM242" s="17"/>
      <c r="AN242" s="18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8"/>
      <c r="BF242" s="1"/>
    </row>
    <row r="243" spans="1:58" ht="21" customHeight="1">
      <c r="A243" s="1"/>
      <c r="B243" s="16"/>
      <c r="C243" s="17"/>
      <c r="D243" s="18"/>
      <c r="E243" s="16"/>
      <c r="F243" s="17"/>
      <c r="G243" s="17"/>
      <c r="H243" s="17"/>
      <c r="I243" s="17"/>
      <c r="J243" s="18"/>
      <c r="K243" s="16"/>
      <c r="L243" s="17"/>
      <c r="M243" s="17"/>
      <c r="N243" s="17"/>
      <c r="O243" s="17"/>
      <c r="P243" s="18"/>
      <c r="Q243" s="16" t="s">
        <v>59</v>
      </c>
      <c r="R243" s="17"/>
      <c r="S243" s="17"/>
      <c r="T243" s="17"/>
      <c r="U243" s="17"/>
      <c r="V243" s="18"/>
      <c r="W243" s="16"/>
      <c r="X243" s="17"/>
      <c r="Y243" s="17"/>
      <c r="Z243" s="17"/>
      <c r="AA243" s="17"/>
      <c r="AB243" s="18"/>
      <c r="AC243" s="16"/>
      <c r="AD243" s="17"/>
      <c r="AE243" s="17"/>
      <c r="AF243" s="17"/>
      <c r="AG243" s="17"/>
      <c r="AH243" s="17"/>
      <c r="AI243" s="16"/>
      <c r="AJ243" s="17"/>
      <c r="AK243" s="17"/>
      <c r="AL243" s="17"/>
      <c r="AM243" s="17"/>
      <c r="AN243" s="18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8"/>
      <c r="BF243" s="1"/>
    </row>
    <row r="244" spans="1:58" ht="21" customHeight="1">
      <c r="A244" s="1"/>
      <c r="B244" s="16"/>
      <c r="C244" s="17"/>
      <c r="D244" s="18"/>
      <c r="E244" s="16"/>
      <c r="F244" s="17"/>
      <c r="G244" s="17"/>
      <c r="H244" s="17"/>
      <c r="I244" s="17"/>
      <c r="J244" s="18"/>
      <c r="K244" s="16"/>
      <c r="L244" s="17"/>
      <c r="M244" s="17"/>
      <c r="N244" s="17"/>
      <c r="O244" s="17"/>
      <c r="P244" s="18"/>
      <c r="Q244" s="16" t="s">
        <v>61</v>
      </c>
      <c r="R244" s="17"/>
      <c r="S244" s="17"/>
      <c r="T244" s="17"/>
      <c r="U244" s="17"/>
      <c r="V244" s="18"/>
      <c r="W244" s="16"/>
      <c r="X244" s="17"/>
      <c r="Y244" s="17"/>
      <c r="Z244" s="17"/>
      <c r="AA244" s="17"/>
      <c r="AB244" s="18"/>
      <c r="AC244" s="16"/>
      <c r="AD244" s="17"/>
      <c r="AE244" s="17"/>
      <c r="AF244" s="17"/>
      <c r="AG244" s="17"/>
      <c r="AH244" s="17"/>
      <c r="AI244" s="16"/>
      <c r="AJ244" s="17"/>
      <c r="AK244" s="17"/>
      <c r="AL244" s="17"/>
      <c r="AM244" s="17"/>
      <c r="AN244" s="18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8"/>
      <c r="BF244" s="1"/>
    </row>
    <row r="245" spans="1:58" ht="21" customHeight="1">
      <c r="A245" s="1"/>
      <c r="B245" s="16"/>
      <c r="C245" s="17"/>
      <c r="D245" s="18"/>
      <c r="E245" s="16"/>
      <c r="F245" s="17"/>
      <c r="G245" s="17"/>
      <c r="H245" s="17"/>
      <c r="I245" s="17"/>
      <c r="J245" s="18"/>
      <c r="K245" s="17"/>
      <c r="L245" s="8"/>
      <c r="M245" s="17"/>
      <c r="N245" s="17"/>
      <c r="O245" s="17"/>
      <c r="P245" s="18"/>
      <c r="Q245" s="16" t="s">
        <v>91</v>
      </c>
      <c r="R245" s="17"/>
      <c r="S245" s="17"/>
      <c r="T245" s="17"/>
      <c r="U245" s="17"/>
      <c r="V245" s="18"/>
      <c r="W245" s="16"/>
      <c r="X245" s="17"/>
      <c r="Y245" s="17"/>
      <c r="Z245" s="17"/>
      <c r="AA245" s="17"/>
      <c r="AB245" s="18"/>
      <c r="AC245" s="16"/>
      <c r="AD245" s="17"/>
      <c r="AE245" s="17"/>
      <c r="AF245" s="17"/>
      <c r="AG245" s="17"/>
      <c r="AH245" s="17"/>
      <c r="AI245" s="16"/>
      <c r="AJ245" s="17"/>
      <c r="AK245" s="17"/>
      <c r="AL245" s="17"/>
      <c r="AM245" s="17"/>
      <c r="AN245" s="18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8"/>
      <c r="BF245" s="1"/>
    </row>
    <row r="246" spans="1:58" ht="21" customHeight="1">
      <c r="A246" s="1"/>
      <c r="B246" s="16"/>
      <c r="C246" s="17"/>
      <c r="D246" s="18"/>
      <c r="E246" s="16"/>
      <c r="F246" s="17"/>
      <c r="G246" s="17"/>
      <c r="H246" s="17"/>
      <c r="I246" s="17"/>
      <c r="J246" s="18"/>
      <c r="K246" s="16"/>
      <c r="L246" s="17"/>
      <c r="M246" s="17"/>
      <c r="N246" s="17"/>
      <c r="O246" s="17"/>
      <c r="P246" s="18"/>
      <c r="Q246" s="16" t="s">
        <v>64</v>
      </c>
      <c r="R246" s="17"/>
      <c r="S246" s="17"/>
      <c r="T246" s="17"/>
      <c r="U246" s="17"/>
      <c r="V246" s="18"/>
      <c r="W246" s="16"/>
      <c r="X246" s="17"/>
      <c r="Y246" s="17"/>
      <c r="Z246" s="17"/>
      <c r="AA246" s="17"/>
      <c r="AB246" s="18"/>
      <c r="AC246" s="16"/>
      <c r="AD246" s="17"/>
      <c r="AE246" s="17"/>
      <c r="AF246" s="17"/>
      <c r="AG246" s="17"/>
      <c r="AH246" s="17"/>
      <c r="AI246" s="16"/>
      <c r="AJ246" s="17"/>
      <c r="AK246" s="17"/>
      <c r="AL246" s="17"/>
      <c r="AM246" s="17"/>
      <c r="AN246" s="18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8"/>
      <c r="BF246" s="1"/>
    </row>
    <row r="247" spans="1:58" ht="21" customHeight="1">
      <c r="A247" s="1"/>
      <c r="B247" s="16"/>
      <c r="C247" s="17"/>
      <c r="D247" s="18"/>
      <c r="E247" s="16"/>
      <c r="F247" s="17"/>
      <c r="G247" s="17"/>
      <c r="H247" s="17"/>
      <c r="I247" s="17"/>
      <c r="J247" s="18"/>
      <c r="K247" s="16"/>
      <c r="L247" s="17"/>
      <c r="M247" s="17"/>
      <c r="N247" s="17"/>
      <c r="O247" s="17"/>
      <c r="P247" s="18"/>
      <c r="Q247" s="16" t="s">
        <v>65</v>
      </c>
      <c r="R247" s="17"/>
      <c r="S247" s="17"/>
      <c r="T247" s="17"/>
      <c r="U247" s="17"/>
      <c r="V247" s="18"/>
      <c r="W247" s="16"/>
      <c r="X247" s="17"/>
      <c r="Y247" s="17"/>
      <c r="Z247" s="17"/>
      <c r="AA247" s="17"/>
      <c r="AB247" s="18"/>
      <c r="AC247" s="16"/>
      <c r="AD247" s="17"/>
      <c r="AE247" s="17"/>
      <c r="AF247" s="17"/>
      <c r="AG247" s="17"/>
      <c r="AH247" s="17"/>
      <c r="AI247" s="16"/>
      <c r="AJ247" s="17"/>
      <c r="AK247" s="17"/>
      <c r="AL247" s="17"/>
      <c r="AM247" s="17"/>
      <c r="AN247" s="18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8"/>
      <c r="BF247" s="1"/>
    </row>
    <row r="248" spans="1:58" ht="21" customHeight="1">
      <c r="A248" s="1"/>
      <c r="B248" s="16"/>
      <c r="C248" s="17"/>
      <c r="D248" s="18"/>
      <c r="E248" s="16"/>
      <c r="F248" s="17"/>
      <c r="G248" s="17"/>
      <c r="H248" s="17"/>
      <c r="I248" s="17"/>
      <c r="J248" s="18"/>
      <c r="K248" s="16"/>
      <c r="L248" s="17"/>
      <c r="M248" s="17"/>
      <c r="N248" s="17"/>
      <c r="O248" s="17"/>
      <c r="P248" s="18"/>
      <c r="Q248" s="16" t="s">
        <v>66</v>
      </c>
      <c r="R248" s="17"/>
      <c r="S248" s="17"/>
      <c r="T248" s="17"/>
      <c r="U248" s="17"/>
      <c r="V248" s="18"/>
      <c r="W248" s="16"/>
      <c r="X248" s="17"/>
      <c r="Y248" s="17"/>
      <c r="Z248" s="17"/>
      <c r="AA248" s="17"/>
      <c r="AB248" s="18"/>
      <c r="AC248" s="16"/>
      <c r="AD248" s="17"/>
      <c r="AE248" s="17"/>
      <c r="AF248" s="17"/>
      <c r="AG248" s="17"/>
      <c r="AH248" s="17"/>
      <c r="AI248" s="16"/>
      <c r="AJ248" s="17"/>
      <c r="AK248" s="17"/>
      <c r="AL248" s="17"/>
      <c r="AM248" s="17"/>
      <c r="AN248" s="18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8"/>
      <c r="BF248" s="1"/>
    </row>
    <row r="249" spans="1:58" ht="21" customHeight="1">
      <c r="A249" s="1"/>
      <c r="B249" s="16"/>
      <c r="C249" s="17"/>
      <c r="D249" s="18"/>
      <c r="E249" s="16"/>
      <c r="F249" s="17"/>
      <c r="G249" s="17"/>
      <c r="H249" s="17"/>
      <c r="I249" s="17"/>
      <c r="J249" s="18"/>
      <c r="K249" s="16"/>
      <c r="L249" s="17"/>
      <c r="M249" s="17"/>
      <c r="N249" s="17"/>
      <c r="O249" s="17"/>
      <c r="P249" s="18"/>
      <c r="Q249" s="16" t="s">
        <v>26</v>
      </c>
      <c r="R249" s="17"/>
      <c r="S249" s="17"/>
      <c r="T249" s="17"/>
      <c r="U249" s="17"/>
      <c r="V249" s="18"/>
      <c r="W249" s="16"/>
      <c r="X249" s="17"/>
      <c r="Y249" s="17"/>
      <c r="Z249" s="17"/>
      <c r="AA249" s="17"/>
      <c r="AB249" s="18"/>
      <c r="AC249" s="16"/>
      <c r="AD249" s="17"/>
      <c r="AE249" s="17"/>
      <c r="AF249" s="17"/>
      <c r="AG249" s="17"/>
      <c r="AH249" s="17"/>
      <c r="AI249" s="16"/>
      <c r="AJ249" s="17"/>
      <c r="AK249" s="17"/>
      <c r="AL249" s="17"/>
      <c r="AM249" s="17"/>
      <c r="AN249" s="18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8"/>
      <c r="BF249" s="1"/>
    </row>
    <row r="250" spans="1:58" ht="21" customHeight="1">
      <c r="A250" s="1"/>
      <c r="B250" s="16"/>
      <c r="C250" s="17"/>
      <c r="D250" s="18"/>
      <c r="E250" s="16"/>
      <c r="F250" s="17"/>
      <c r="G250" s="17"/>
      <c r="H250" s="17"/>
      <c r="I250" s="17"/>
      <c r="J250" s="18"/>
      <c r="K250" s="16"/>
      <c r="L250" s="17"/>
      <c r="M250" s="17"/>
      <c r="N250" s="17"/>
      <c r="O250" s="17"/>
      <c r="P250" s="18"/>
      <c r="Q250" s="16" t="s">
        <v>67</v>
      </c>
      <c r="R250" s="17"/>
      <c r="S250" s="17"/>
      <c r="T250" s="17"/>
      <c r="U250" s="17"/>
      <c r="V250" s="18"/>
      <c r="W250" s="16"/>
      <c r="X250" s="17"/>
      <c r="Y250" s="17"/>
      <c r="Z250" s="17"/>
      <c r="AA250" s="17"/>
      <c r="AB250" s="18"/>
      <c r="AC250" s="16"/>
      <c r="AD250" s="17"/>
      <c r="AE250" s="17"/>
      <c r="AF250" s="17"/>
      <c r="AG250" s="17"/>
      <c r="AH250" s="17"/>
      <c r="AI250" s="16"/>
      <c r="AJ250" s="17"/>
      <c r="AK250" s="17"/>
      <c r="AL250" s="17"/>
      <c r="AM250" s="17"/>
      <c r="AN250" s="18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8"/>
      <c r="BF250" s="1"/>
    </row>
    <row r="251" spans="1:58" ht="21" customHeight="1">
      <c r="A251" s="1"/>
      <c r="B251" s="16"/>
      <c r="C251" s="17"/>
      <c r="D251" s="18"/>
      <c r="E251" s="16"/>
      <c r="F251" s="17"/>
      <c r="G251" s="17"/>
      <c r="H251" s="17"/>
      <c r="I251" s="17"/>
      <c r="J251" s="18"/>
      <c r="K251" s="16"/>
      <c r="L251" s="17"/>
      <c r="M251" s="17"/>
      <c r="N251" s="17"/>
      <c r="O251" s="17"/>
      <c r="P251" s="18"/>
      <c r="Q251" s="16" t="s">
        <v>30</v>
      </c>
      <c r="R251" s="17"/>
      <c r="S251" s="17"/>
      <c r="T251" s="17"/>
      <c r="U251" s="17"/>
      <c r="V251" s="18"/>
      <c r="W251" s="16"/>
      <c r="X251" s="17"/>
      <c r="Y251" s="17"/>
      <c r="Z251" s="17"/>
      <c r="AA251" s="17"/>
      <c r="AB251" s="18"/>
      <c r="AC251" s="16"/>
      <c r="AD251" s="17"/>
      <c r="AE251" s="17"/>
      <c r="AF251" s="17"/>
      <c r="AG251" s="17"/>
      <c r="AH251" s="17"/>
      <c r="AI251" s="16"/>
      <c r="AJ251" s="17"/>
      <c r="AK251" s="17"/>
      <c r="AL251" s="17"/>
      <c r="AM251" s="17"/>
      <c r="AN251" s="18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8"/>
      <c r="BF251" s="1"/>
    </row>
    <row r="252" spans="1:58" ht="21" customHeight="1">
      <c r="A252" s="1"/>
      <c r="B252" s="16"/>
      <c r="C252" s="17"/>
      <c r="D252" s="18"/>
      <c r="E252" s="16"/>
      <c r="F252" s="17"/>
      <c r="G252" s="17"/>
      <c r="H252" s="17"/>
      <c r="I252" s="17"/>
      <c r="J252" s="18"/>
      <c r="K252" s="16"/>
      <c r="L252" s="17"/>
      <c r="M252" s="17"/>
      <c r="N252" s="17"/>
      <c r="O252" s="17"/>
      <c r="P252" s="18"/>
      <c r="Q252" s="16" t="s">
        <v>68</v>
      </c>
      <c r="R252" s="17"/>
      <c r="S252" s="17"/>
      <c r="T252" s="17"/>
      <c r="U252" s="17"/>
      <c r="V252" s="18"/>
      <c r="W252" s="16"/>
      <c r="X252" s="17"/>
      <c r="Y252" s="17"/>
      <c r="Z252" s="17"/>
      <c r="AA252" s="17"/>
      <c r="AB252" s="18"/>
      <c r="AC252" s="16"/>
      <c r="AD252" s="17"/>
      <c r="AE252" s="17"/>
      <c r="AF252" s="17"/>
      <c r="AG252" s="17"/>
      <c r="AH252" s="17"/>
      <c r="AI252" s="16"/>
      <c r="AJ252" s="17"/>
      <c r="AK252" s="17"/>
      <c r="AL252" s="17"/>
      <c r="AM252" s="17"/>
      <c r="AN252" s="18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8"/>
      <c r="BF252" s="1"/>
    </row>
    <row r="253" spans="1:58" ht="21" customHeight="1">
      <c r="A253" s="1"/>
      <c r="B253" s="16"/>
      <c r="C253" s="17"/>
      <c r="D253" s="18"/>
      <c r="E253" s="16"/>
      <c r="F253" s="17"/>
      <c r="G253" s="17"/>
      <c r="H253" s="17"/>
      <c r="I253" s="17"/>
      <c r="J253" s="18"/>
      <c r="K253" s="16"/>
      <c r="L253" s="17"/>
      <c r="M253" s="17"/>
      <c r="N253" s="17"/>
      <c r="O253" s="17"/>
      <c r="P253" s="18"/>
      <c r="Q253" s="16" t="s">
        <v>33</v>
      </c>
      <c r="R253" s="17"/>
      <c r="S253" s="17"/>
      <c r="T253" s="17"/>
      <c r="U253" s="17"/>
      <c r="V253" s="18"/>
      <c r="W253" s="16"/>
      <c r="X253" s="17"/>
      <c r="Y253" s="17"/>
      <c r="Z253" s="17"/>
      <c r="AA253" s="17"/>
      <c r="AB253" s="18"/>
      <c r="AC253" s="16"/>
      <c r="AD253" s="17"/>
      <c r="AE253" s="17"/>
      <c r="AF253" s="17"/>
      <c r="AG253" s="17"/>
      <c r="AH253" s="17"/>
      <c r="AI253" s="16"/>
      <c r="AJ253" s="17"/>
      <c r="AK253" s="17"/>
      <c r="AL253" s="17"/>
      <c r="AM253" s="17"/>
      <c r="AN253" s="18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8"/>
      <c r="BF253" s="1"/>
    </row>
    <row r="254" spans="1:58" ht="21" customHeight="1">
      <c r="A254" s="1"/>
      <c r="B254" s="16"/>
      <c r="C254" s="17"/>
      <c r="D254" s="18"/>
      <c r="E254" s="16"/>
      <c r="F254" s="17"/>
      <c r="G254" s="17"/>
      <c r="H254" s="17"/>
      <c r="I254" s="17"/>
      <c r="J254" s="18"/>
      <c r="K254" s="16"/>
      <c r="L254" s="17"/>
      <c r="M254" s="17"/>
      <c r="N254" s="17"/>
      <c r="O254" s="17"/>
      <c r="P254" s="18"/>
      <c r="Q254" s="16" t="s">
        <v>36</v>
      </c>
      <c r="R254" s="17"/>
      <c r="S254" s="17"/>
      <c r="T254" s="17"/>
      <c r="U254" s="17"/>
      <c r="V254" s="18"/>
      <c r="W254" s="16"/>
      <c r="X254" s="17"/>
      <c r="Y254" s="17"/>
      <c r="Z254" s="17"/>
      <c r="AA254" s="17"/>
      <c r="AB254" s="18"/>
      <c r="AC254" s="16"/>
      <c r="AD254" s="17"/>
      <c r="AE254" s="17"/>
      <c r="AF254" s="17"/>
      <c r="AG254" s="17"/>
      <c r="AH254" s="17"/>
      <c r="AI254" s="16"/>
      <c r="AJ254" s="17"/>
      <c r="AK254" s="17"/>
      <c r="AL254" s="17"/>
      <c r="AM254" s="17"/>
      <c r="AN254" s="18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8"/>
      <c r="BF254" s="1"/>
    </row>
    <row r="255" spans="1:58" ht="21" customHeight="1">
      <c r="A255" s="1"/>
      <c r="B255" s="16"/>
      <c r="C255" s="17"/>
      <c r="D255" s="18"/>
      <c r="E255" s="16"/>
      <c r="F255" s="17"/>
      <c r="G255" s="17"/>
      <c r="H255" s="17"/>
      <c r="I255" s="17"/>
      <c r="J255" s="18"/>
      <c r="K255" s="16"/>
      <c r="L255" s="17"/>
      <c r="M255" s="17"/>
      <c r="N255" s="17"/>
      <c r="O255" s="17"/>
      <c r="P255" s="18"/>
      <c r="Q255" s="16" t="s">
        <v>69</v>
      </c>
      <c r="R255" s="17"/>
      <c r="S255" s="17"/>
      <c r="T255" s="17"/>
      <c r="U255" s="17"/>
      <c r="V255" s="18"/>
      <c r="W255" s="16"/>
      <c r="X255" s="17"/>
      <c r="Y255" s="17"/>
      <c r="Z255" s="17"/>
      <c r="AA255" s="17"/>
      <c r="AB255" s="18"/>
      <c r="AC255" s="16"/>
      <c r="AD255" s="17"/>
      <c r="AE255" s="17"/>
      <c r="AF255" s="17"/>
      <c r="AG255" s="17"/>
      <c r="AH255" s="17"/>
      <c r="AI255" s="16"/>
      <c r="AJ255" s="17"/>
      <c r="AK255" s="17"/>
      <c r="AL255" s="17"/>
      <c r="AM255" s="17"/>
      <c r="AN255" s="18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8"/>
      <c r="BF255" s="1"/>
    </row>
    <row r="256" spans="1:58" ht="21" customHeight="1">
      <c r="A256" s="1"/>
      <c r="B256" s="16"/>
      <c r="C256" s="17"/>
      <c r="D256" s="18"/>
      <c r="E256" s="16"/>
      <c r="F256" s="17"/>
      <c r="G256" s="17"/>
      <c r="H256" s="17"/>
      <c r="I256" s="17"/>
      <c r="J256" s="18"/>
      <c r="K256" s="16"/>
      <c r="L256" s="17"/>
      <c r="M256" s="17"/>
      <c r="N256" s="17"/>
      <c r="O256" s="17"/>
      <c r="P256" s="18"/>
      <c r="Q256" s="16" t="s">
        <v>70</v>
      </c>
      <c r="R256" s="17"/>
      <c r="S256" s="17"/>
      <c r="T256" s="17"/>
      <c r="U256" s="17"/>
      <c r="V256" s="18"/>
      <c r="W256" s="16"/>
      <c r="X256" s="17"/>
      <c r="Y256" s="17"/>
      <c r="Z256" s="17"/>
      <c r="AA256" s="17"/>
      <c r="AB256" s="18"/>
      <c r="AC256" s="16"/>
      <c r="AD256" s="17"/>
      <c r="AE256" s="17"/>
      <c r="AF256" s="17"/>
      <c r="AG256" s="17"/>
      <c r="AH256" s="17"/>
      <c r="AI256" s="16"/>
      <c r="AJ256" s="17"/>
      <c r="AK256" s="17"/>
      <c r="AL256" s="17"/>
      <c r="AM256" s="17"/>
      <c r="AN256" s="18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8"/>
      <c r="BF256" s="1"/>
    </row>
    <row r="257" spans="1:58" ht="21" customHeight="1">
      <c r="A257" s="1"/>
      <c r="B257" s="16"/>
      <c r="C257" s="17"/>
      <c r="D257" s="18"/>
      <c r="E257" s="16"/>
      <c r="F257" s="17"/>
      <c r="G257" s="17"/>
      <c r="H257" s="17"/>
      <c r="I257" s="17"/>
      <c r="J257" s="18"/>
      <c r="K257" s="16"/>
      <c r="L257" s="17"/>
      <c r="M257" s="17"/>
      <c r="N257" s="17"/>
      <c r="O257" s="17"/>
      <c r="P257" s="18"/>
      <c r="Q257" s="16" t="s">
        <v>39</v>
      </c>
      <c r="R257" s="17"/>
      <c r="S257" s="17"/>
      <c r="T257" s="17"/>
      <c r="U257" s="17"/>
      <c r="V257" s="18"/>
      <c r="W257" s="16"/>
      <c r="X257" s="17"/>
      <c r="Y257" s="17"/>
      <c r="Z257" s="17"/>
      <c r="AA257" s="17"/>
      <c r="AB257" s="18"/>
      <c r="AC257" s="16"/>
      <c r="AD257" s="17"/>
      <c r="AE257" s="17"/>
      <c r="AF257" s="17"/>
      <c r="AG257" s="17"/>
      <c r="AH257" s="17"/>
      <c r="AI257" s="16"/>
      <c r="AJ257" s="17"/>
      <c r="AK257" s="17"/>
      <c r="AL257" s="17"/>
      <c r="AM257" s="17"/>
      <c r="AN257" s="18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8"/>
      <c r="BF257" s="1"/>
    </row>
    <row r="258" spans="1:58" ht="21" customHeight="1">
      <c r="A258" s="1"/>
      <c r="B258" s="16"/>
      <c r="C258" s="17"/>
      <c r="D258" s="18"/>
      <c r="E258" s="16"/>
      <c r="F258" s="17"/>
      <c r="G258" s="17"/>
      <c r="H258" s="17"/>
      <c r="I258" s="17"/>
      <c r="J258" s="18"/>
      <c r="K258" s="16"/>
      <c r="L258" s="17"/>
      <c r="M258" s="17"/>
      <c r="N258" s="17"/>
      <c r="O258" s="17"/>
      <c r="P258" s="18"/>
      <c r="Q258" s="16" t="s">
        <v>41</v>
      </c>
      <c r="R258" s="17"/>
      <c r="S258" s="17"/>
      <c r="T258" s="17"/>
      <c r="U258" s="17"/>
      <c r="V258" s="18"/>
      <c r="W258" s="16"/>
      <c r="X258" s="17"/>
      <c r="Y258" s="17"/>
      <c r="Z258" s="17"/>
      <c r="AA258" s="17"/>
      <c r="AB258" s="18"/>
      <c r="AC258" s="16"/>
      <c r="AD258" s="17"/>
      <c r="AE258" s="17"/>
      <c r="AF258" s="17"/>
      <c r="AG258" s="17"/>
      <c r="AH258" s="17"/>
      <c r="AI258" s="16"/>
      <c r="AJ258" s="17"/>
      <c r="AK258" s="17"/>
      <c r="AL258" s="17"/>
      <c r="AM258" s="17"/>
      <c r="AN258" s="18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8"/>
      <c r="BF258" s="1"/>
    </row>
    <row r="259" spans="1:58" ht="21" customHeight="1">
      <c r="A259" s="1"/>
      <c r="B259" s="16"/>
      <c r="C259" s="17"/>
      <c r="D259" s="18"/>
      <c r="E259" s="16"/>
      <c r="F259" s="17"/>
      <c r="G259" s="17"/>
      <c r="H259" s="17"/>
      <c r="I259" s="17"/>
      <c r="J259" s="18"/>
      <c r="K259" s="16"/>
      <c r="L259" s="17"/>
      <c r="M259" s="17"/>
      <c r="N259" s="17"/>
      <c r="O259" s="17"/>
      <c r="P259" s="18"/>
      <c r="Q259" s="16" t="s">
        <v>43</v>
      </c>
      <c r="R259" s="17"/>
      <c r="S259" s="17"/>
      <c r="T259" s="17"/>
      <c r="U259" s="17"/>
      <c r="V259" s="18"/>
      <c r="W259" s="16"/>
      <c r="X259" s="17"/>
      <c r="Y259" s="17"/>
      <c r="Z259" s="17"/>
      <c r="AA259" s="17"/>
      <c r="AB259" s="18"/>
      <c r="AC259" s="16"/>
      <c r="AD259" s="17"/>
      <c r="AE259" s="17"/>
      <c r="AF259" s="17"/>
      <c r="AG259" s="17"/>
      <c r="AH259" s="17"/>
      <c r="AI259" s="16"/>
      <c r="AJ259" s="17"/>
      <c r="AK259" s="17"/>
      <c r="AL259" s="17"/>
      <c r="AM259" s="17"/>
      <c r="AN259" s="18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8"/>
      <c r="BF259" s="1"/>
    </row>
    <row r="260" spans="1:58" ht="21" customHeight="1">
      <c r="A260" s="1"/>
      <c r="B260" s="16"/>
      <c r="C260" s="17"/>
      <c r="D260" s="18"/>
      <c r="E260" s="16"/>
      <c r="F260" s="17"/>
      <c r="G260" s="17"/>
      <c r="H260" s="17"/>
      <c r="I260" s="17"/>
      <c r="J260" s="18"/>
      <c r="K260" s="16"/>
      <c r="L260" s="17"/>
      <c r="M260" s="17"/>
      <c r="N260" s="17"/>
      <c r="O260" s="17"/>
      <c r="P260" s="18"/>
      <c r="Q260" s="16" t="s">
        <v>45</v>
      </c>
      <c r="R260" s="17"/>
      <c r="S260" s="17"/>
      <c r="T260" s="17"/>
      <c r="U260" s="17"/>
      <c r="V260" s="18"/>
      <c r="W260" s="16"/>
      <c r="X260" s="17"/>
      <c r="Y260" s="17"/>
      <c r="Z260" s="17"/>
      <c r="AA260" s="17"/>
      <c r="AB260" s="18"/>
      <c r="AC260" s="16"/>
      <c r="AD260" s="17"/>
      <c r="AE260" s="17"/>
      <c r="AF260" s="17"/>
      <c r="AG260" s="17"/>
      <c r="AH260" s="17"/>
      <c r="AI260" s="16"/>
      <c r="AJ260" s="17"/>
      <c r="AK260" s="17"/>
      <c r="AL260" s="17"/>
      <c r="AM260" s="17"/>
      <c r="AN260" s="18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8"/>
      <c r="BF260" s="1"/>
    </row>
    <row r="261" spans="1:58" ht="21" customHeight="1">
      <c r="A261" s="1"/>
      <c r="B261" s="16"/>
      <c r="C261" s="17"/>
      <c r="D261" s="18"/>
      <c r="E261" s="16"/>
      <c r="F261" s="17"/>
      <c r="G261" s="17"/>
      <c r="H261" s="17"/>
      <c r="I261" s="17"/>
      <c r="J261" s="18"/>
      <c r="K261" s="16"/>
      <c r="L261" s="17"/>
      <c r="M261" s="17"/>
      <c r="N261" s="17"/>
      <c r="O261" s="17"/>
      <c r="P261" s="18"/>
      <c r="Q261" s="16" t="s">
        <v>49</v>
      </c>
      <c r="R261" s="17"/>
      <c r="S261" s="17"/>
      <c r="T261" s="17"/>
      <c r="U261" s="17"/>
      <c r="V261" s="18"/>
      <c r="W261" s="16"/>
      <c r="X261" s="17"/>
      <c r="Y261" s="17"/>
      <c r="Z261" s="17"/>
      <c r="AA261" s="17"/>
      <c r="AB261" s="18"/>
      <c r="AC261" s="16"/>
      <c r="AD261" s="17"/>
      <c r="AE261" s="17"/>
      <c r="AF261" s="17"/>
      <c r="AG261" s="17"/>
      <c r="AH261" s="17"/>
      <c r="AI261" s="16"/>
      <c r="AJ261" s="17"/>
      <c r="AK261" s="17"/>
      <c r="AL261" s="17"/>
      <c r="AM261" s="17"/>
      <c r="AN261" s="18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8"/>
      <c r="BF261" s="1"/>
    </row>
    <row r="262" spans="1:58" ht="21" customHeight="1">
      <c r="A262" s="1"/>
      <c r="B262" s="16"/>
      <c r="C262" s="17"/>
      <c r="D262" s="18"/>
      <c r="E262" s="16"/>
      <c r="F262" s="17"/>
      <c r="G262" s="17"/>
      <c r="H262" s="17"/>
      <c r="I262" s="17"/>
      <c r="J262" s="18"/>
      <c r="K262" s="16"/>
      <c r="L262" s="17"/>
      <c r="M262" s="17"/>
      <c r="N262" s="17"/>
      <c r="O262" s="17"/>
      <c r="P262" s="18"/>
      <c r="Q262" s="16" t="s">
        <v>51</v>
      </c>
      <c r="R262" s="17"/>
      <c r="S262" s="17"/>
      <c r="T262" s="17"/>
      <c r="U262" s="17"/>
      <c r="V262" s="18"/>
      <c r="W262" s="16"/>
      <c r="X262" s="17"/>
      <c r="Y262" s="17"/>
      <c r="Z262" s="17"/>
      <c r="AA262" s="17"/>
      <c r="AB262" s="18"/>
      <c r="AC262" s="16"/>
      <c r="AD262" s="17"/>
      <c r="AE262" s="17"/>
      <c r="AF262" s="17"/>
      <c r="AG262" s="17"/>
      <c r="AH262" s="17"/>
      <c r="AI262" s="16"/>
      <c r="AJ262" s="17"/>
      <c r="AK262" s="17"/>
      <c r="AL262" s="17"/>
      <c r="AM262" s="17"/>
      <c r="AN262" s="18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8"/>
      <c r="BF262" s="1"/>
    </row>
    <row r="263" spans="1:58" ht="21" customHeight="1">
      <c r="A263" s="1"/>
      <c r="B263" s="16"/>
      <c r="C263" s="17"/>
      <c r="D263" s="18"/>
      <c r="E263" s="16"/>
      <c r="F263" s="17"/>
      <c r="G263" s="17"/>
      <c r="H263" s="17"/>
      <c r="I263" s="17"/>
      <c r="J263" s="18"/>
      <c r="K263" s="16"/>
      <c r="L263" s="17"/>
      <c r="M263" s="17"/>
      <c r="N263" s="17"/>
      <c r="O263" s="17"/>
      <c r="P263" s="18"/>
      <c r="Q263" s="16" t="s">
        <v>53</v>
      </c>
      <c r="R263" s="17"/>
      <c r="S263" s="17"/>
      <c r="T263" s="17"/>
      <c r="U263" s="17"/>
      <c r="V263" s="18"/>
      <c r="W263" s="16"/>
      <c r="X263" s="17"/>
      <c r="Y263" s="17"/>
      <c r="Z263" s="17"/>
      <c r="AA263" s="17"/>
      <c r="AB263" s="18"/>
      <c r="AC263" s="16"/>
      <c r="AD263" s="17"/>
      <c r="AE263" s="17"/>
      <c r="AF263" s="17"/>
      <c r="AG263" s="17"/>
      <c r="AH263" s="17"/>
      <c r="AI263" s="16"/>
      <c r="AJ263" s="17"/>
      <c r="AK263" s="17"/>
      <c r="AL263" s="17"/>
      <c r="AM263" s="17"/>
      <c r="AN263" s="18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8"/>
      <c r="BF263" s="1"/>
    </row>
    <row r="264" spans="1:58" ht="21" customHeight="1">
      <c r="A264" s="1"/>
      <c r="B264" s="16"/>
      <c r="C264" s="17"/>
      <c r="D264" s="18"/>
      <c r="E264" s="16"/>
      <c r="F264" s="17"/>
      <c r="G264" s="17"/>
      <c r="H264" s="17"/>
      <c r="I264" s="17"/>
      <c r="J264" s="18"/>
      <c r="K264" s="16"/>
      <c r="L264" s="17"/>
      <c r="M264" s="17"/>
      <c r="N264" s="17"/>
      <c r="O264" s="17"/>
      <c r="P264" s="18"/>
      <c r="Q264" s="16" t="s">
        <v>55</v>
      </c>
      <c r="R264" s="17"/>
      <c r="S264" s="17"/>
      <c r="T264" s="17"/>
      <c r="U264" s="17"/>
      <c r="V264" s="18"/>
      <c r="W264" s="16"/>
      <c r="X264" s="17"/>
      <c r="Y264" s="17"/>
      <c r="Z264" s="17"/>
      <c r="AA264" s="17"/>
      <c r="AB264" s="18"/>
      <c r="AC264" s="16"/>
      <c r="AD264" s="17"/>
      <c r="AE264" s="17"/>
      <c r="AF264" s="17"/>
      <c r="AG264" s="17"/>
      <c r="AH264" s="17"/>
      <c r="AI264" s="16"/>
      <c r="AJ264" s="17"/>
      <c r="AK264" s="17"/>
      <c r="AL264" s="17"/>
      <c r="AM264" s="17"/>
      <c r="AN264" s="18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8"/>
      <c r="BF264" s="1"/>
    </row>
    <row r="265" spans="1:58" ht="21" customHeight="1">
      <c r="A265" s="1"/>
      <c r="B265" s="16"/>
      <c r="C265" s="17"/>
      <c r="D265" s="18"/>
      <c r="E265" s="16"/>
      <c r="F265" s="17"/>
      <c r="G265" s="17"/>
      <c r="H265" s="17"/>
      <c r="I265" s="17"/>
      <c r="J265" s="18"/>
      <c r="K265" s="16"/>
      <c r="L265" s="17"/>
      <c r="M265" s="17"/>
      <c r="N265" s="17"/>
      <c r="O265" s="17"/>
      <c r="P265" s="18"/>
      <c r="Q265" s="16" t="s">
        <v>58</v>
      </c>
      <c r="R265" s="17"/>
      <c r="S265" s="17"/>
      <c r="T265" s="17"/>
      <c r="U265" s="17"/>
      <c r="V265" s="18"/>
      <c r="W265" s="16"/>
      <c r="X265" s="17"/>
      <c r="Y265" s="17"/>
      <c r="Z265" s="17"/>
      <c r="AA265" s="17"/>
      <c r="AB265" s="18"/>
      <c r="AC265" s="16"/>
      <c r="AD265" s="17"/>
      <c r="AE265" s="17"/>
      <c r="AF265" s="17"/>
      <c r="AG265" s="17"/>
      <c r="AH265" s="17"/>
      <c r="AI265" s="16"/>
      <c r="AJ265" s="17"/>
      <c r="AK265" s="17"/>
      <c r="AL265" s="17"/>
      <c r="AM265" s="17"/>
      <c r="AN265" s="18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8"/>
      <c r="BF265" s="1"/>
    </row>
    <row r="266" spans="1:58" ht="21" customHeight="1">
      <c r="A266" s="1"/>
      <c r="B266" s="16"/>
      <c r="C266" s="17"/>
      <c r="D266" s="18"/>
      <c r="E266" s="16"/>
      <c r="F266" s="17"/>
      <c r="G266" s="17"/>
      <c r="H266" s="17"/>
      <c r="I266" s="17"/>
      <c r="J266" s="18"/>
      <c r="K266" s="16"/>
      <c r="L266" s="17"/>
      <c r="M266" s="17"/>
      <c r="N266" s="17"/>
      <c r="O266" s="17"/>
      <c r="P266" s="18"/>
      <c r="Q266" s="16" t="s">
        <v>60</v>
      </c>
      <c r="R266" s="17"/>
      <c r="S266" s="17"/>
      <c r="T266" s="17"/>
      <c r="U266" s="17"/>
      <c r="V266" s="18"/>
      <c r="W266" s="16"/>
      <c r="X266" s="17"/>
      <c r="Y266" s="17"/>
      <c r="Z266" s="17"/>
      <c r="AA266" s="17"/>
      <c r="AB266" s="18"/>
      <c r="AC266" s="16"/>
      <c r="AD266" s="17"/>
      <c r="AE266" s="17"/>
      <c r="AF266" s="17"/>
      <c r="AG266" s="17"/>
      <c r="AH266" s="17"/>
      <c r="AI266" s="16"/>
      <c r="AJ266" s="17"/>
      <c r="AK266" s="17"/>
      <c r="AL266" s="17"/>
      <c r="AM266" s="17"/>
      <c r="AN266" s="18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8"/>
      <c r="BF266" s="1"/>
    </row>
    <row r="267" spans="1:58" ht="21" customHeight="1">
      <c r="A267" s="1"/>
      <c r="B267" s="16"/>
      <c r="C267" s="17"/>
      <c r="D267" s="18"/>
      <c r="E267" s="16"/>
      <c r="F267" s="17"/>
      <c r="G267" s="17"/>
      <c r="H267" s="17"/>
      <c r="I267" s="17"/>
      <c r="J267" s="18"/>
      <c r="K267" s="16"/>
      <c r="L267" s="17"/>
      <c r="M267" s="17"/>
      <c r="N267" s="17"/>
      <c r="O267" s="17"/>
      <c r="P267" s="18"/>
      <c r="Q267" s="16" t="s">
        <v>71</v>
      </c>
      <c r="R267" s="17"/>
      <c r="S267" s="17"/>
      <c r="T267" s="17"/>
      <c r="U267" s="17"/>
      <c r="V267" s="18"/>
      <c r="W267" s="16"/>
      <c r="X267" s="17"/>
      <c r="Y267" s="17"/>
      <c r="Z267" s="17"/>
      <c r="AA267" s="17"/>
      <c r="AB267" s="18"/>
      <c r="AC267" s="16"/>
      <c r="AD267" s="17"/>
      <c r="AE267" s="17"/>
      <c r="AF267" s="17"/>
      <c r="AG267" s="17"/>
      <c r="AH267" s="17"/>
      <c r="AI267" s="16"/>
      <c r="AJ267" s="17"/>
      <c r="AK267" s="17"/>
      <c r="AL267" s="17"/>
      <c r="AM267" s="17"/>
      <c r="AN267" s="18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8"/>
      <c r="BF267" s="1"/>
    </row>
    <row r="268" spans="1:58" ht="21" customHeight="1">
      <c r="A268" s="1"/>
      <c r="B268" s="16"/>
      <c r="C268" s="17"/>
      <c r="D268" s="18"/>
      <c r="E268" s="16"/>
      <c r="F268" s="17"/>
      <c r="G268" s="17"/>
      <c r="H268" s="17"/>
      <c r="I268" s="17"/>
      <c r="J268" s="18"/>
      <c r="K268" s="16"/>
      <c r="L268" s="17"/>
      <c r="M268" s="17"/>
      <c r="N268" s="17"/>
      <c r="O268" s="17"/>
      <c r="P268" s="18"/>
      <c r="Q268" s="16" t="s">
        <v>72</v>
      </c>
      <c r="R268" s="17"/>
      <c r="S268" s="17"/>
      <c r="T268" s="17"/>
      <c r="U268" s="17"/>
      <c r="V268" s="18"/>
      <c r="W268" s="16"/>
      <c r="X268" s="17"/>
      <c r="Y268" s="17"/>
      <c r="Z268" s="17"/>
      <c r="AA268" s="17"/>
      <c r="AB268" s="18"/>
      <c r="AC268" s="16"/>
      <c r="AD268" s="17"/>
      <c r="AE268" s="17"/>
      <c r="AF268" s="17"/>
      <c r="AG268" s="17"/>
      <c r="AH268" s="17"/>
      <c r="AI268" s="16"/>
      <c r="AJ268" s="17"/>
      <c r="AK268" s="17"/>
      <c r="AL268" s="17"/>
      <c r="AM268" s="17"/>
      <c r="AN268" s="18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8"/>
      <c r="BF268" s="1"/>
    </row>
    <row r="269" spans="1:58" ht="21" customHeight="1">
      <c r="A269" s="1"/>
      <c r="B269" s="16"/>
      <c r="C269" s="17"/>
      <c r="D269" s="18"/>
      <c r="E269" s="16"/>
      <c r="F269" s="17"/>
      <c r="G269" s="17"/>
      <c r="H269" s="17"/>
      <c r="I269" s="17"/>
      <c r="J269" s="18"/>
      <c r="K269" s="16"/>
      <c r="L269" s="17"/>
      <c r="M269" s="17"/>
      <c r="N269" s="17"/>
      <c r="O269" s="17"/>
      <c r="P269" s="18"/>
      <c r="Q269" s="16" t="s">
        <v>110</v>
      </c>
      <c r="R269" s="17"/>
      <c r="S269" s="17"/>
      <c r="T269" s="17"/>
      <c r="U269" s="17"/>
      <c r="V269" s="18"/>
      <c r="W269" s="16"/>
      <c r="X269" s="17"/>
      <c r="Y269" s="17"/>
      <c r="Z269" s="17"/>
      <c r="AA269" s="17"/>
      <c r="AB269" s="18"/>
      <c r="AC269" s="16"/>
      <c r="AD269" s="17"/>
      <c r="AE269" s="17"/>
      <c r="AF269" s="17"/>
      <c r="AG269" s="17"/>
      <c r="AH269" s="17"/>
      <c r="AI269" s="16"/>
      <c r="AJ269" s="17"/>
      <c r="AK269" s="17"/>
      <c r="AL269" s="17"/>
      <c r="AM269" s="17"/>
      <c r="AN269" s="18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8"/>
      <c r="BF269" s="1"/>
    </row>
    <row r="270" spans="1:58" ht="21" customHeight="1">
      <c r="A270" s="1"/>
      <c r="B270" s="16"/>
      <c r="C270" s="17"/>
      <c r="D270" s="18"/>
      <c r="E270" s="16"/>
      <c r="F270" s="17"/>
      <c r="G270" s="17"/>
      <c r="H270" s="17"/>
      <c r="I270" s="17"/>
      <c r="J270" s="18"/>
      <c r="K270" s="16"/>
      <c r="L270" s="17"/>
      <c r="M270" s="17"/>
      <c r="N270" s="17"/>
      <c r="O270" s="17"/>
      <c r="P270" s="18"/>
      <c r="Q270" s="16" t="s">
        <v>93</v>
      </c>
      <c r="R270" s="17"/>
      <c r="S270" s="17"/>
      <c r="T270" s="17"/>
      <c r="U270" s="17"/>
      <c r="V270" s="18"/>
      <c r="W270" s="16"/>
      <c r="X270" s="17"/>
      <c r="Y270" s="17"/>
      <c r="Z270" s="17"/>
      <c r="AA270" s="17"/>
      <c r="AB270" s="18"/>
      <c r="AC270" s="16"/>
      <c r="AD270" s="17"/>
      <c r="AE270" s="17"/>
      <c r="AF270" s="17"/>
      <c r="AG270" s="17"/>
      <c r="AH270" s="17"/>
      <c r="AI270" s="16"/>
      <c r="AJ270" s="17"/>
      <c r="AK270" s="17"/>
      <c r="AL270" s="17"/>
      <c r="AM270" s="17"/>
      <c r="AN270" s="18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8"/>
      <c r="BF270" s="1"/>
    </row>
    <row r="271" spans="1:58" ht="21" customHeight="1">
      <c r="A271" s="1"/>
      <c r="B271" s="16"/>
      <c r="C271" s="17"/>
      <c r="D271" s="18"/>
      <c r="E271" s="16"/>
      <c r="F271" s="17"/>
      <c r="G271" s="17"/>
      <c r="H271" s="17"/>
      <c r="I271" s="17"/>
      <c r="J271" s="18"/>
      <c r="K271" s="16"/>
      <c r="L271" s="17"/>
      <c r="M271" s="17"/>
      <c r="N271" s="17"/>
      <c r="O271" s="17"/>
      <c r="P271" s="18"/>
      <c r="Q271" s="16" t="s">
        <v>74</v>
      </c>
      <c r="R271" s="17"/>
      <c r="S271" s="17"/>
      <c r="T271" s="17"/>
      <c r="U271" s="17"/>
      <c r="V271" s="18"/>
      <c r="W271" s="16"/>
      <c r="X271" s="17"/>
      <c r="Y271" s="17"/>
      <c r="Z271" s="17"/>
      <c r="AA271" s="17"/>
      <c r="AB271" s="18"/>
      <c r="AC271" s="16"/>
      <c r="AD271" s="17"/>
      <c r="AE271" s="17"/>
      <c r="AF271" s="17"/>
      <c r="AG271" s="17"/>
      <c r="AH271" s="17"/>
      <c r="AI271" s="16"/>
      <c r="AJ271" s="17"/>
      <c r="AK271" s="17"/>
      <c r="AL271" s="17"/>
      <c r="AM271" s="17"/>
      <c r="AN271" s="18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8"/>
      <c r="BF271" s="1"/>
    </row>
    <row r="272" spans="1:58" ht="21" customHeight="1">
      <c r="A272" s="1"/>
      <c r="B272" s="16"/>
      <c r="C272" s="17"/>
      <c r="D272" s="18"/>
      <c r="E272" s="16"/>
      <c r="F272" s="17"/>
      <c r="G272" s="17"/>
      <c r="H272" s="17"/>
      <c r="I272" s="17"/>
      <c r="J272" s="18"/>
      <c r="K272" s="16"/>
      <c r="L272" s="17"/>
      <c r="M272" s="17"/>
      <c r="N272" s="17"/>
      <c r="O272" s="17"/>
      <c r="P272" s="18"/>
      <c r="Q272" s="16" t="s">
        <v>94</v>
      </c>
      <c r="R272" s="17"/>
      <c r="S272" s="17"/>
      <c r="T272" s="17"/>
      <c r="U272" s="17"/>
      <c r="V272" s="18"/>
      <c r="W272" s="16"/>
      <c r="X272" s="17"/>
      <c r="Y272" s="17"/>
      <c r="Z272" s="17"/>
      <c r="AA272" s="17"/>
      <c r="AB272" s="18"/>
      <c r="AC272" s="16"/>
      <c r="AD272" s="17"/>
      <c r="AE272" s="17"/>
      <c r="AF272" s="17"/>
      <c r="AG272" s="17"/>
      <c r="AH272" s="17"/>
      <c r="AI272" s="16"/>
      <c r="AJ272" s="17"/>
      <c r="AK272" s="17"/>
      <c r="AL272" s="17"/>
      <c r="AM272" s="17"/>
      <c r="AN272" s="18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8"/>
      <c r="BF272" s="1"/>
    </row>
    <row r="273" spans="1:58" ht="21" customHeight="1">
      <c r="A273" s="1"/>
      <c r="B273" s="16"/>
      <c r="C273" s="17"/>
      <c r="D273" s="18"/>
      <c r="E273" s="16"/>
      <c r="F273" s="17"/>
      <c r="G273" s="17"/>
      <c r="H273" s="17"/>
      <c r="I273" s="17"/>
      <c r="J273" s="18"/>
      <c r="K273" s="16"/>
      <c r="L273" s="17"/>
      <c r="M273" s="17"/>
      <c r="N273" s="17"/>
      <c r="O273" s="17"/>
      <c r="P273" s="18"/>
      <c r="Q273" s="16" t="s">
        <v>77</v>
      </c>
      <c r="R273" s="17"/>
      <c r="S273" s="17"/>
      <c r="T273" s="17"/>
      <c r="U273" s="17"/>
      <c r="V273" s="18"/>
      <c r="W273" s="16"/>
      <c r="X273" s="17"/>
      <c r="Y273" s="17"/>
      <c r="Z273" s="17"/>
      <c r="AA273" s="17"/>
      <c r="AB273" s="18"/>
      <c r="AC273" s="16"/>
      <c r="AD273" s="17"/>
      <c r="AE273" s="17"/>
      <c r="AF273" s="17"/>
      <c r="AG273" s="17"/>
      <c r="AH273" s="17"/>
      <c r="AI273" s="16"/>
      <c r="AJ273" s="17"/>
      <c r="AK273" s="17"/>
      <c r="AL273" s="17"/>
      <c r="AM273" s="17"/>
      <c r="AN273" s="18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8"/>
      <c r="BF273" s="1"/>
    </row>
    <row r="274" spans="1:58" ht="21" customHeight="1">
      <c r="A274" s="1"/>
      <c r="B274" s="51"/>
      <c r="C274" s="52"/>
      <c r="D274" s="53"/>
      <c r="E274" s="51"/>
      <c r="F274" s="52"/>
      <c r="G274" s="52"/>
      <c r="H274" s="52"/>
      <c r="I274" s="52"/>
      <c r="J274" s="53"/>
      <c r="K274" s="51"/>
      <c r="L274" s="52"/>
      <c r="M274" s="52"/>
      <c r="N274" s="52"/>
      <c r="O274" s="52"/>
      <c r="P274" s="53"/>
      <c r="Q274" s="51" t="s">
        <v>718</v>
      </c>
      <c r="R274" s="52"/>
      <c r="S274" s="52"/>
      <c r="T274" s="52"/>
      <c r="U274" s="52"/>
      <c r="V274" s="53"/>
      <c r="W274" s="51"/>
      <c r="X274" s="52"/>
      <c r="Y274" s="52"/>
      <c r="Z274" s="52"/>
      <c r="AA274" s="52"/>
      <c r="AB274" s="53"/>
      <c r="AC274" s="51"/>
      <c r="AD274" s="52"/>
      <c r="AE274" s="52"/>
      <c r="AF274" s="52"/>
      <c r="AG274" s="52"/>
      <c r="AH274" s="52"/>
      <c r="AI274" s="51"/>
      <c r="AJ274" s="52"/>
      <c r="AK274" s="52"/>
      <c r="AL274" s="52"/>
      <c r="AM274" s="52"/>
      <c r="AN274" s="53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3"/>
      <c r="BF274" s="1"/>
    </row>
    <row r="275" spans="1:58" ht="21" customHeight="1">
      <c r="A275" s="1"/>
      <c r="B275" s="13" t="s">
        <v>869</v>
      </c>
      <c r="C275" s="14"/>
      <c r="D275" s="15"/>
      <c r="E275" s="13" t="s">
        <v>870</v>
      </c>
      <c r="F275" s="14"/>
      <c r="G275" s="14"/>
      <c r="H275" s="14"/>
      <c r="I275" s="14"/>
      <c r="J275" s="15"/>
      <c r="K275" s="13"/>
      <c r="L275" s="14"/>
      <c r="M275" s="14"/>
      <c r="N275" s="14"/>
      <c r="O275" s="14"/>
      <c r="P275" s="15"/>
      <c r="Q275" s="16" t="s">
        <v>874</v>
      </c>
      <c r="R275" s="14"/>
      <c r="S275" s="14"/>
      <c r="T275" s="14"/>
      <c r="U275" s="14"/>
      <c r="V275" s="15"/>
      <c r="W275" s="13" t="s">
        <v>872</v>
      </c>
      <c r="X275" s="14"/>
      <c r="Y275" s="14"/>
      <c r="Z275" s="14"/>
      <c r="AA275" s="14"/>
      <c r="AB275" s="15"/>
      <c r="AC275" s="13" t="s">
        <v>599</v>
      </c>
      <c r="AD275" s="14"/>
      <c r="AE275" s="14"/>
      <c r="AF275" s="14"/>
      <c r="AG275" s="14"/>
      <c r="AH275" s="14"/>
      <c r="AI275" s="13" t="s">
        <v>871</v>
      </c>
      <c r="AJ275" s="14"/>
      <c r="AK275" s="14"/>
      <c r="AL275" s="14"/>
      <c r="AM275" s="14"/>
      <c r="AN275" s="15"/>
      <c r="AO275" s="16" t="s">
        <v>882</v>
      </c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5"/>
      <c r="BF275" s="1"/>
    </row>
    <row r="276" spans="1:58" ht="21" customHeight="1">
      <c r="A276" s="1"/>
      <c r="B276" s="16"/>
      <c r="C276" s="17"/>
      <c r="D276" s="18"/>
      <c r="E276" s="16"/>
      <c r="F276" s="17"/>
      <c r="G276" s="17"/>
      <c r="H276" s="17"/>
      <c r="I276" s="17"/>
      <c r="J276" s="18"/>
      <c r="K276" s="16"/>
      <c r="L276" s="17"/>
      <c r="M276" s="17"/>
      <c r="N276" s="17"/>
      <c r="O276" s="17"/>
      <c r="P276" s="18"/>
      <c r="Q276" s="16" t="s">
        <v>876</v>
      </c>
      <c r="R276" s="17"/>
      <c r="S276" s="17"/>
      <c r="T276" s="17"/>
      <c r="U276" s="17"/>
      <c r="V276" s="18"/>
      <c r="W276" s="16"/>
      <c r="X276" s="17"/>
      <c r="Y276" s="17"/>
      <c r="Z276" s="17"/>
      <c r="AA276" s="17"/>
      <c r="AB276" s="18"/>
      <c r="AC276" s="16"/>
      <c r="AD276" s="17"/>
      <c r="AE276" s="17"/>
      <c r="AF276" s="17"/>
      <c r="AG276" s="17"/>
      <c r="AH276" s="17"/>
      <c r="AI276" s="16"/>
      <c r="AJ276" s="17"/>
      <c r="AK276" s="17"/>
      <c r="AL276" s="17"/>
      <c r="AM276" s="17"/>
      <c r="AN276" s="18"/>
      <c r="AO276" s="16" t="s">
        <v>883</v>
      </c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8"/>
      <c r="BF276" s="1"/>
    </row>
    <row r="277" spans="1:58" ht="21" customHeight="1">
      <c r="A277" s="1"/>
      <c r="B277" s="16"/>
      <c r="C277" s="17"/>
      <c r="D277" s="18"/>
      <c r="E277" s="16"/>
      <c r="F277" s="17"/>
      <c r="G277" s="17"/>
      <c r="H277" s="17"/>
      <c r="I277" s="17"/>
      <c r="J277" s="18"/>
      <c r="K277" s="16"/>
      <c r="L277" s="17"/>
      <c r="M277" s="17"/>
      <c r="N277" s="17"/>
      <c r="O277" s="17"/>
      <c r="P277" s="18"/>
      <c r="Q277" s="16" t="s">
        <v>877</v>
      </c>
      <c r="R277" s="17"/>
      <c r="S277" s="17"/>
      <c r="T277" s="17"/>
      <c r="U277" s="17"/>
      <c r="V277" s="18"/>
      <c r="W277" s="16"/>
      <c r="X277" s="17"/>
      <c r="Y277" s="17"/>
      <c r="Z277" s="17"/>
      <c r="AA277" s="17"/>
      <c r="AB277" s="18"/>
      <c r="AC277" s="16"/>
      <c r="AD277" s="17"/>
      <c r="AE277" s="17"/>
      <c r="AF277" s="17"/>
      <c r="AG277" s="17"/>
      <c r="AH277" s="17"/>
      <c r="AI277" s="16"/>
      <c r="AJ277" s="17"/>
      <c r="AK277" s="17"/>
      <c r="AL277" s="17"/>
      <c r="AM277" s="17"/>
      <c r="AN277" s="18"/>
      <c r="AO277" s="16" t="s">
        <v>884</v>
      </c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8"/>
      <c r="BF277" s="1"/>
    </row>
    <row r="278" spans="1:58" ht="21" customHeight="1">
      <c r="A278" s="1"/>
      <c r="B278" s="16"/>
      <c r="C278" s="17"/>
      <c r="D278" s="18"/>
      <c r="E278" s="16"/>
      <c r="F278" s="17"/>
      <c r="G278" s="17"/>
      <c r="H278" s="17"/>
      <c r="I278" s="17"/>
      <c r="J278" s="18"/>
      <c r="K278" s="16"/>
      <c r="L278" s="17"/>
      <c r="M278" s="17"/>
      <c r="N278" s="17"/>
      <c r="O278" s="17"/>
      <c r="P278" s="18"/>
      <c r="Q278" s="16" t="s">
        <v>540</v>
      </c>
      <c r="R278" s="17"/>
      <c r="S278" s="17"/>
      <c r="T278" s="17"/>
      <c r="U278" s="17"/>
      <c r="V278" s="18"/>
      <c r="W278" s="16"/>
      <c r="X278" s="17"/>
      <c r="Y278" s="17"/>
      <c r="Z278" s="17"/>
      <c r="AA278" s="17"/>
      <c r="AB278" s="18"/>
      <c r="AC278" s="16"/>
      <c r="AD278" s="17"/>
      <c r="AE278" s="17"/>
      <c r="AF278" s="17"/>
      <c r="AG278" s="17"/>
      <c r="AH278" s="17"/>
      <c r="AI278" s="16"/>
      <c r="AJ278" s="17"/>
      <c r="AK278" s="17"/>
      <c r="AL278" s="17"/>
      <c r="AM278" s="17"/>
      <c r="AN278" s="18"/>
      <c r="AO278" s="16" t="s">
        <v>885</v>
      </c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8"/>
      <c r="BF278" s="1"/>
    </row>
    <row r="279" spans="1:58" ht="21" customHeight="1">
      <c r="A279" s="1"/>
      <c r="B279" s="47"/>
      <c r="C279" s="48"/>
      <c r="D279" s="49"/>
      <c r="E279" s="47"/>
      <c r="F279" s="48"/>
      <c r="G279" s="48"/>
      <c r="H279" s="48"/>
      <c r="I279" s="48"/>
      <c r="J279" s="49"/>
      <c r="K279" s="47"/>
      <c r="L279" s="48"/>
      <c r="M279" s="48"/>
      <c r="N279" s="48"/>
      <c r="O279" s="48"/>
      <c r="P279" s="49"/>
      <c r="Q279" s="16" t="s">
        <v>531</v>
      </c>
      <c r="R279" s="70"/>
      <c r="S279" s="70"/>
      <c r="T279" s="70"/>
      <c r="U279" s="70"/>
      <c r="V279" s="18"/>
      <c r="W279" s="47"/>
      <c r="X279" s="48"/>
      <c r="Y279" s="48"/>
      <c r="Z279" s="48"/>
      <c r="AA279" s="48"/>
      <c r="AB279" s="49"/>
      <c r="AC279" s="47"/>
      <c r="AD279" s="48"/>
      <c r="AE279" s="48"/>
      <c r="AF279" s="48"/>
      <c r="AG279" s="48"/>
      <c r="AH279" s="48"/>
      <c r="AI279" s="47"/>
      <c r="AJ279" s="48"/>
      <c r="AK279" s="48"/>
      <c r="AL279" s="48"/>
      <c r="AM279" s="48"/>
      <c r="AN279" s="49"/>
      <c r="AO279" s="16" t="s">
        <v>886</v>
      </c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18"/>
      <c r="BF279" s="1"/>
    </row>
    <row r="280" spans="1:58" ht="21" customHeight="1">
      <c r="A280" s="1"/>
      <c r="B280" s="13" t="s">
        <v>906</v>
      </c>
      <c r="C280" s="14"/>
      <c r="D280" s="15"/>
      <c r="E280" s="13" t="s">
        <v>901</v>
      </c>
      <c r="F280" s="14"/>
      <c r="G280" s="14"/>
      <c r="H280" s="14"/>
      <c r="I280" s="14"/>
      <c r="J280" s="15"/>
      <c r="K280" s="13" t="s">
        <v>898</v>
      </c>
      <c r="L280" s="14"/>
      <c r="M280" s="14"/>
      <c r="N280" s="14"/>
      <c r="O280" s="14"/>
      <c r="P280" s="14"/>
      <c r="Q280" s="71" t="s">
        <v>899</v>
      </c>
      <c r="R280" s="72"/>
      <c r="S280" s="72"/>
      <c r="T280" s="72"/>
      <c r="U280" s="72"/>
      <c r="V280" s="73"/>
      <c r="W280" s="14"/>
      <c r="X280" s="14"/>
      <c r="Y280" s="14"/>
      <c r="Z280" s="14"/>
      <c r="AA280" s="14"/>
      <c r="AB280" s="15"/>
      <c r="AC280" s="13" t="s">
        <v>658</v>
      </c>
      <c r="AD280" s="14"/>
      <c r="AE280" s="14"/>
      <c r="AF280" s="14"/>
      <c r="AG280" s="14"/>
      <c r="AH280" s="14"/>
      <c r="AI280" s="13" t="s">
        <v>887</v>
      </c>
      <c r="AJ280" s="14"/>
      <c r="AK280" s="14"/>
      <c r="AL280" s="14"/>
      <c r="AM280" s="14"/>
      <c r="AN280" s="14"/>
      <c r="AO280" s="71" t="s">
        <v>902</v>
      </c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3"/>
      <c r="BF280" s="1"/>
    </row>
    <row r="281" spans="1:58" ht="21" customHeight="1">
      <c r="A281" s="1"/>
      <c r="B281" s="16"/>
      <c r="C281" s="17"/>
      <c r="D281" s="18"/>
      <c r="E281" s="16"/>
      <c r="F281" s="17"/>
      <c r="G281" s="17"/>
      <c r="H281" s="17"/>
      <c r="I281" s="17"/>
      <c r="J281" s="18"/>
      <c r="K281" s="16"/>
      <c r="L281" s="17"/>
      <c r="M281" s="17"/>
      <c r="N281" s="17"/>
      <c r="O281" s="17"/>
      <c r="P281" s="70"/>
      <c r="Q281" s="74" t="s">
        <v>900</v>
      </c>
      <c r="R281" s="70"/>
      <c r="S281" s="70"/>
      <c r="T281" s="70"/>
      <c r="U281" s="70"/>
      <c r="V281" s="75"/>
      <c r="W281" s="70"/>
      <c r="X281" s="17"/>
      <c r="Y281" s="17"/>
      <c r="Z281" s="17"/>
      <c r="AA281" s="17"/>
      <c r="AB281" s="18"/>
      <c r="AC281" s="16"/>
      <c r="AD281" s="17"/>
      <c r="AE281" s="17"/>
      <c r="AF281" s="17"/>
      <c r="AG281" s="17"/>
      <c r="AH281" s="17"/>
      <c r="AI281" s="16"/>
      <c r="AJ281" s="17"/>
      <c r="AK281" s="17"/>
      <c r="AL281" s="17"/>
      <c r="AM281" s="17"/>
      <c r="AN281" s="70"/>
      <c r="AO281" s="74" t="s">
        <v>903</v>
      </c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5"/>
      <c r="BF281" s="1"/>
    </row>
    <row r="282" spans="1:58" ht="21" customHeight="1">
      <c r="A282" s="1"/>
      <c r="B282" s="16"/>
      <c r="C282" s="17"/>
      <c r="D282" s="18"/>
      <c r="E282" s="16"/>
      <c r="F282" s="17"/>
      <c r="G282" s="17"/>
      <c r="H282" s="17"/>
      <c r="I282" s="17"/>
      <c r="J282" s="18"/>
      <c r="K282" s="16"/>
      <c r="L282" s="17"/>
      <c r="M282" s="17"/>
      <c r="N282" s="17"/>
      <c r="O282" s="17"/>
      <c r="P282" s="70"/>
      <c r="Q282" s="76"/>
      <c r="R282" s="52"/>
      <c r="S282" s="52"/>
      <c r="T282" s="52"/>
      <c r="U282" s="52"/>
      <c r="V282" s="77"/>
      <c r="W282" s="70"/>
      <c r="X282" s="17"/>
      <c r="Y282" s="17"/>
      <c r="Z282" s="17"/>
      <c r="AA282" s="17"/>
      <c r="AB282" s="18"/>
      <c r="AC282" s="16"/>
      <c r="AD282" s="17"/>
      <c r="AE282" s="17"/>
      <c r="AF282" s="17"/>
      <c r="AG282" s="17"/>
      <c r="AH282" s="17"/>
      <c r="AI282" s="16"/>
      <c r="AJ282" s="17"/>
      <c r="AK282" s="17"/>
      <c r="AL282" s="17"/>
      <c r="AM282" s="17"/>
      <c r="AN282" s="70"/>
      <c r="AO282" s="76" t="s">
        <v>904</v>
      </c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77"/>
      <c r="BF282" s="1"/>
    </row>
    <row r="283" spans="1:58" ht="21" customHeight="1">
      <c r="A283" s="1"/>
      <c r="B283" s="13" t="s">
        <v>908</v>
      </c>
      <c r="C283" s="14"/>
      <c r="D283" s="15"/>
      <c r="E283" s="13" t="s">
        <v>909</v>
      </c>
      <c r="F283" s="14"/>
      <c r="G283" s="14"/>
      <c r="H283" s="14"/>
      <c r="I283" s="14"/>
      <c r="J283" s="15"/>
      <c r="K283" s="13"/>
      <c r="L283" s="14"/>
      <c r="M283" s="14"/>
      <c r="N283" s="14"/>
      <c r="O283" s="14"/>
      <c r="P283" s="14"/>
      <c r="Q283" s="71" t="s">
        <v>59</v>
      </c>
      <c r="R283" s="72"/>
      <c r="S283" s="72"/>
      <c r="T283" s="72"/>
      <c r="U283" s="72"/>
      <c r="V283" s="73"/>
      <c r="W283" s="14"/>
      <c r="X283" s="14"/>
      <c r="Y283" s="14"/>
      <c r="Z283" s="14"/>
      <c r="AA283" s="14"/>
      <c r="AB283" s="15"/>
      <c r="AC283" s="13" t="s">
        <v>658</v>
      </c>
      <c r="AD283" s="14"/>
      <c r="AE283" s="14"/>
      <c r="AF283" s="14"/>
      <c r="AG283" s="14"/>
      <c r="AH283" s="14"/>
      <c r="AI283" s="13" t="s">
        <v>907</v>
      </c>
      <c r="AJ283" s="14"/>
      <c r="AK283" s="14"/>
      <c r="AL283" s="14"/>
      <c r="AM283" s="14"/>
      <c r="AN283" s="14"/>
      <c r="AO283" s="71" t="s">
        <v>911</v>
      </c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3"/>
      <c r="BF283" s="1"/>
    </row>
    <row r="284" spans="1:58" ht="21" customHeight="1">
      <c r="A284" s="1"/>
      <c r="B284" s="16"/>
      <c r="C284" s="17"/>
      <c r="D284" s="18"/>
      <c r="E284" s="16"/>
      <c r="F284" s="17"/>
      <c r="G284" s="17"/>
      <c r="H284" s="17"/>
      <c r="I284" s="17"/>
      <c r="J284" s="18"/>
      <c r="K284" s="16"/>
      <c r="L284" s="17"/>
      <c r="M284" s="17"/>
      <c r="N284" s="17"/>
      <c r="O284" s="17"/>
      <c r="P284" s="70"/>
      <c r="Q284" s="76" t="s">
        <v>910</v>
      </c>
      <c r="R284" s="52"/>
      <c r="S284" s="52"/>
      <c r="T284" s="52"/>
      <c r="U284" s="52"/>
      <c r="V284" s="77"/>
      <c r="W284" s="70"/>
      <c r="X284" s="17"/>
      <c r="Y284" s="17"/>
      <c r="Z284" s="17"/>
      <c r="AA284" s="17"/>
      <c r="AB284" s="18"/>
      <c r="AC284" s="16"/>
      <c r="AD284" s="17"/>
      <c r="AE284" s="17"/>
      <c r="AF284" s="17"/>
      <c r="AG284" s="17"/>
      <c r="AH284" s="17"/>
      <c r="AI284" s="16"/>
      <c r="AJ284" s="17"/>
      <c r="AK284" s="17"/>
      <c r="AL284" s="17"/>
      <c r="AM284" s="17"/>
      <c r="AN284" s="70"/>
      <c r="AO284" s="76" t="s">
        <v>912</v>
      </c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77"/>
      <c r="BF284" s="1"/>
    </row>
    <row r="285" spans="1:58" ht="21" customHeight="1">
      <c r="A285" s="1"/>
      <c r="B285" s="13" t="s">
        <v>913</v>
      </c>
      <c r="C285" s="14"/>
      <c r="D285" s="15"/>
      <c r="E285" s="13" t="s">
        <v>914</v>
      </c>
      <c r="F285" s="14"/>
      <c r="G285" s="14"/>
      <c r="H285" s="14"/>
      <c r="I285" s="14"/>
      <c r="J285" s="15"/>
      <c r="K285" s="13" t="s">
        <v>915</v>
      </c>
      <c r="L285" s="14"/>
      <c r="M285" s="14"/>
      <c r="N285" s="14"/>
      <c r="O285" s="14"/>
      <c r="P285" s="15"/>
      <c r="Q285" s="16" t="s">
        <v>937</v>
      </c>
      <c r="R285" s="70"/>
      <c r="S285" s="70"/>
      <c r="T285" s="70"/>
      <c r="U285" s="70"/>
      <c r="V285" s="18"/>
      <c r="W285" s="13"/>
      <c r="X285" s="14"/>
      <c r="Y285" s="14"/>
      <c r="Z285" s="14"/>
      <c r="AA285" s="14"/>
      <c r="AB285" s="15"/>
      <c r="AC285" s="13" t="s">
        <v>917</v>
      </c>
      <c r="AD285" s="14"/>
      <c r="AE285" s="14"/>
      <c r="AF285" s="14"/>
      <c r="AG285" s="14"/>
      <c r="AH285" s="14"/>
      <c r="AI285" s="13" t="s">
        <v>916</v>
      </c>
      <c r="AJ285" s="14"/>
      <c r="AK285" s="14"/>
      <c r="AL285" s="14"/>
      <c r="AM285" s="14"/>
      <c r="AN285" s="15"/>
      <c r="AO285" s="16" t="s">
        <v>918</v>
      </c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18"/>
      <c r="BF285" s="1"/>
    </row>
    <row r="286" spans="1:58" ht="21" customHeight="1">
      <c r="A286" s="1"/>
      <c r="B286" s="16"/>
      <c r="C286" s="17"/>
      <c r="D286" s="18"/>
      <c r="E286" s="16"/>
      <c r="F286" s="17"/>
      <c r="G286" s="17"/>
      <c r="H286" s="17"/>
      <c r="I286" s="17"/>
      <c r="J286" s="18"/>
      <c r="K286" s="16"/>
      <c r="L286" s="17"/>
      <c r="M286" s="17"/>
      <c r="N286" s="17"/>
      <c r="O286" s="17"/>
      <c r="P286" s="18"/>
      <c r="Q286" s="16"/>
      <c r="R286" s="17"/>
      <c r="S286" s="17"/>
      <c r="T286" s="17"/>
      <c r="U286" s="17"/>
      <c r="V286" s="18"/>
      <c r="W286" s="16"/>
      <c r="X286" s="17"/>
      <c r="Y286" s="17"/>
      <c r="Z286" s="17"/>
      <c r="AA286" s="17"/>
      <c r="AB286" s="18"/>
      <c r="AC286" s="16"/>
      <c r="AD286" s="17"/>
      <c r="AE286" s="17"/>
      <c r="AF286" s="17"/>
      <c r="AG286" s="17"/>
      <c r="AH286" s="17"/>
      <c r="AI286" s="16"/>
      <c r="AJ286" s="17"/>
      <c r="AK286" s="17"/>
      <c r="AL286" s="17"/>
      <c r="AM286" s="17"/>
      <c r="AN286" s="18"/>
      <c r="AO286" s="16" t="s">
        <v>938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8"/>
      <c r="BF286" s="1"/>
    </row>
    <row r="287" spans="1:58" ht="21" customHeight="1">
      <c r="A287" s="1"/>
      <c r="B287" s="47"/>
      <c r="C287" s="48"/>
      <c r="D287" s="49"/>
      <c r="E287" s="47"/>
      <c r="F287" s="48"/>
      <c r="G287" s="48"/>
      <c r="H287" s="48"/>
      <c r="I287" s="48"/>
      <c r="J287" s="49"/>
      <c r="K287" s="47"/>
      <c r="L287" s="48"/>
      <c r="M287" s="48"/>
      <c r="N287" s="48"/>
      <c r="O287" s="48"/>
      <c r="P287" s="49"/>
      <c r="Q287" s="47"/>
      <c r="R287" s="48"/>
      <c r="S287" s="48"/>
      <c r="T287" s="48"/>
      <c r="U287" s="48"/>
      <c r="V287" s="49"/>
      <c r="W287" s="47"/>
      <c r="X287" s="48"/>
      <c r="Y287" s="48"/>
      <c r="Z287" s="48"/>
      <c r="AA287" s="48"/>
      <c r="AB287" s="49"/>
      <c r="AC287" s="47"/>
      <c r="AD287" s="48"/>
      <c r="AE287" s="48"/>
      <c r="AF287" s="48"/>
      <c r="AG287" s="48"/>
      <c r="AH287" s="48"/>
      <c r="AI287" s="47"/>
      <c r="AJ287" s="48"/>
      <c r="AK287" s="48"/>
      <c r="AL287" s="48"/>
      <c r="AM287" s="48"/>
      <c r="AN287" s="49"/>
      <c r="AO287" s="47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9"/>
      <c r="BF287" s="1"/>
    </row>
    <row r="288" spans="1:58" ht="21" customHeight="1">
      <c r="A288" s="1"/>
      <c r="B288" s="13" t="s">
        <v>940</v>
      </c>
      <c r="C288" s="14"/>
      <c r="D288" s="15"/>
      <c r="E288" s="13" t="s">
        <v>941</v>
      </c>
      <c r="F288" s="14"/>
      <c r="G288" s="14"/>
      <c r="H288" s="14"/>
      <c r="I288" s="14"/>
      <c r="J288" s="15"/>
      <c r="K288" s="13"/>
      <c r="L288" s="14"/>
      <c r="M288" s="14"/>
      <c r="N288" s="14"/>
      <c r="O288" s="14"/>
      <c r="P288" s="15"/>
      <c r="Q288" s="16" t="s">
        <v>542</v>
      </c>
      <c r="R288" s="70"/>
      <c r="S288" s="70"/>
      <c r="T288" s="70"/>
      <c r="U288" s="70"/>
      <c r="V288" s="18"/>
      <c r="W288" s="13"/>
      <c r="X288" s="14"/>
      <c r="Y288" s="14"/>
      <c r="Z288" s="14"/>
      <c r="AA288" s="14"/>
      <c r="AB288" s="15"/>
      <c r="AC288" s="13" t="s">
        <v>917</v>
      </c>
      <c r="AD288" s="14"/>
      <c r="AE288" s="14"/>
      <c r="AF288" s="14"/>
      <c r="AG288" s="14"/>
      <c r="AH288" s="14"/>
      <c r="AI288" s="13" t="s">
        <v>942</v>
      </c>
      <c r="AJ288" s="14"/>
      <c r="AK288" s="14"/>
      <c r="AL288" s="14"/>
      <c r="AM288" s="14"/>
      <c r="AN288" s="15"/>
      <c r="AO288" s="16" t="s">
        <v>943</v>
      </c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18"/>
      <c r="BF288" s="1"/>
    </row>
    <row r="289" spans="1:58" ht="21" customHeight="1">
      <c r="A289" s="1"/>
      <c r="B289" s="16"/>
      <c r="C289" s="17"/>
      <c r="D289" s="18"/>
      <c r="E289" s="16"/>
      <c r="F289" s="17"/>
      <c r="G289" s="17"/>
      <c r="H289" s="17"/>
      <c r="I289" s="17"/>
      <c r="J289" s="18"/>
      <c r="K289" s="16"/>
      <c r="L289" s="17"/>
      <c r="M289" s="17"/>
      <c r="N289" s="17"/>
      <c r="O289" s="17"/>
      <c r="P289" s="18"/>
      <c r="Q289" s="16" t="s">
        <v>954</v>
      </c>
      <c r="R289" s="17"/>
      <c r="S289" s="17"/>
      <c r="T289" s="17"/>
      <c r="U289" s="17"/>
      <c r="V289" s="18"/>
      <c r="W289" s="16"/>
      <c r="X289" s="17"/>
      <c r="Y289" s="17"/>
      <c r="Z289" s="17"/>
      <c r="AA289" s="17"/>
      <c r="AB289" s="18"/>
      <c r="AC289" s="16"/>
      <c r="AD289" s="17"/>
      <c r="AE289" s="17"/>
      <c r="AF289" s="17"/>
      <c r="AG289" s="17"/>
      <c r="AH289" s="17"/>
      <c r="AI289" s="16"/>
      <c r="AJ289" s="17"/>
      <c r="AK289" s="17"/>
      <c r="AL289" s="17"/>
      <c r="AM289" s="17"/>
      <c r="AN289" s="18"/>
      <c r="AO289" s="16" t="s">
        <v>948</v>
      </c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8"/>
      <c r="BF289" s="1"/>
    </row>
    <row r="290" spans="1:58" ht="21" customHeight="1">
      <c r="A290" s="1"/>
      <c r="B290" s="16"/>
      <c r="C290" s="17"/>
      <c r="D290" s="18"/>
      <c r="E290" s="16"/>
      <c r="F290" s="17"/>
      <c r="G290" s="17"/>
      <c r="H290" s="17"/>
      <c r="I290" s="17"/>
      <c r="J290" s="18"/>
      <c r="K290" s="16"/>
      <c r="L290" s="17"/>
      <c r="M290" s="17"/>
      <c r="N290" s="17"/>
      <c r="O290" s="17"/>
      <c r="P290" s="18"/>
      <c r="Q290" s="16" t="s">
        <v>547</v>
      </c>
      <c r="R290" s="17"/>
      <c r="S290" s="17"/>
      <c r="T290" s="17"/>
      <c r="U290" s="17"/>
      <c r="V290" s="18"/>
      <c r="W290" s="16"/>
      <c r="X290" s="17"/>
      <c r="Y290" s="17"/>
      <c r="Z290" s="17"/>
      <c r="AA290" s="17"/>
      <c r="AB290" s="18"/>
      <c r="AC290" s="16"/>
      <c r="AD290" s="17"/>
      <c r="AE290" s="17"/>
      <c r="AF290" s="17"/>
      <c r="AG290" s="17"/>
      <c r="AH290" s="17"/>
      <c r="AI290" s="16"/>
      <c r="AJ290" s="17"/>
      <c r="AK290" s="17"/>
      <c r="AL290" s="17"/>
      <c r="AM290" s="17"/>
      <c r="AN290" s="18"/>
      <c r="AO290" s="16" t="s">
        <v>949</v>
      </c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8"/>
      <c r="BF290" s="1"/>
    </row>
    <row r="291" spans="1:58" ht="21" customHeight="1">
      <c r="A291" s="1"/>
      <c r="B291" s="16"/>
      <c r="C291" s="17"/>
      <c r="D291" s="18"/>
      <c r="E291" s="16"/>
      <c r="F291" s="17"/>
      <c r="G291" s="17"/>
      <c r="H291" s="17"/>
      <c r="I291" s="17"/>
      <c r="J291" s="18"/>
      <c r="K291" s="16"/>
      <c r="L291" s="17"/>
      <c r="M291" s="17"/>
      <c r="N291" s="17"/>
      <c r="O291" s="17"/>
      <c r="P291" s="18"/>
      <c r="Q291" s="16" t="s">
        <v>569</v>
      </c>
      <c r="R291" s="17"/>
      <c r="S291" s="17"/>
      <c r="T291" s="17"/>
      <c r="U291" s="17"/>
      <c r="V291" s="18"/>
      <c r="W291" s="16"/>
      <c r="X291" s="17"/>
      <c r="Y291" s="17"/>
      <c r="Z291" s="17"/>
      <c r="AA291" s="17"/>
      <c r="AB291" s="18"/>
      <c r="AC291" s="16"/>
      <c r="AD291" s="17"/>
      <c r="AE291" s="17"/>
      <c r="AF291" s="17"/>
      <c r="AG291" s="17"/>
      <c r="AH291" s="17"/>
      <c r="AI291" s="16"/>
      <c r="AJ291" s="17"/>
      <c r="AK291" s="17"/>
      <c r="AL291" s="17"/>
      <c r="AM291" s="17"/>
      <c r="AN291" s="18"/>
      <c r="AO291" s="16" t="s">
        <v>953</v>
      </c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8"/>
      <c r="BF291" s="1"/>
    </row>
    <row r="292" spans="1:58" ht="21" customHeight="1">
      <c r="A292" s="1"/>
      <c r="B292" s="16"/>
      <c r="C292" s="17"/>
      <c r="D292" s="18"/>
      <c r="E292" s="16"/>
      <c r="F292" s="17"/>
      <c r="G292" s="17"/>
      <c r="H292" s="17"/>
      <c r="I292" s="17"/>
      <c r="J292" s="18"/>
      <c r="K292" s="16"/>
      <c r="L292" s="17"/>
      <c r="M292" s="17"/>
      <c r="N292" s="17"/>
      <c r="O292" s="17"/>
      <c r="P292" s="18"/>
      <c r="Q292" s="16" t="s">
        <v>956</v>
      </c>
      <c r="R292" s="17"/>
      <c r="S292" s="17"/>
      <c r="T292" s="17"/>
      <c r="U292" s="17"/>
      <c r="V292" s="18"/>
      <c r="W292" s="16"/>
      <c r="X292" s="17"/>
      <c r="Y292" s="17"/>
      <c r="Z292" s="17"/>
      <c r="AA292" s="17"/>
      <c r="AB292" s="18"/>
      <c r="AC292" s="16"/>
      <c r="AD292" s="17"/>
      <c r="AE292" s="17"/>
      <c r="AF292" s="17"/>
      <c r="AG292" s="17"/>
      <c r="AH292" s="17"/>
      <c r="AI292" s="16"/>
      <c r="AJ292" s="17"/>
      <c r="AK292" s="17"/>
      <c r="AL292" s="17"/>
      <c r="AM292" s="17"/>
      <c r="AN292" s="18"/>
      <c r="AO292" s="16" t="s">
        <v>957</v>
      </c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8"/>
      <c r="BF292" s="1"/>
    </row>
    <row r="293" spans="1:58" ht="21" customHeight="1">
      <c r="A293" s="1"/>
      <c r="B293" s="16"/>
      <c r="C293" s="17"/>
      <c r="D293" s="18"/>
      <c r="E293" s="16"/>
      <c r="F293" s="17"/>
      <c r="G293" s="17"/>
      <c r="H293" s="17"/>
      <c r="I293" s="17"/>
      <c r="J293" s="18"/>
      <c r="K293" s="16"/>
      <c r="L293" s="17"/>
      <c r="M293" s="17"/>
      <c r="N293" s="17"/>
      <c r="O293" s="17"/>
      <c r="P293" s="18"/>
      <c r="Q293" s="16" t="s">
        <v>576</v>
      </c>
      <c r="R293" s="17"/>
      <c r="S293" s="17"/>
      <c r="T293" s="17"/>
      <c r="U293" s="17"/>
      <c r="V293" s="18"/>
      <c r="W293" s="16"/>
      <c r="X293" s="17"/>
      <c r="Y293" s="17"/>
      <c r="Z293" s="17"/>
      <c r="AA293" s="17"/>
      <c r="AB293" s="18"/>
      <c r="AC293" s="16"/>
      <c r="AD293" s="17"/>
      <c r="AE293" s="17"/>
      <c r="AF293" s="17"/>
      <c r="AG293" s="17"/>
      <c r="AH293" s="17"/>
      <c r="AI293" s="16"/>
      <c r="AJ293" s="17"/>
      <c r="AK293" s="17"/>
      <c r="AL293" s="17"/>
      <c r="AM293" s="17"/>
      <c r="AN293" s="18"/>
      <c r="AO293" s="16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8"/>
      <c r="BF293" s="1"/>
    </row>
    <row r="294" spans="1:58" ht="21" customHeight="1">
      <c r="A294" s="1"/>
      <c r="B294" s="47"/>
      <c r="C294" s="48"/>
      <c r="D294" s="49"/>
      <c r="E294" s="47"/>
      <c r="F294" s="48"/>
      <c r="G294" s="48"/>
      <c r="H294" s="48"/>
      <c r="I294" s="48"/>
      <c r="J294" s="49"/>
      <c r="K294" s="47"/>
      <c r="L294" s="48"/>
      <c r="M294" s="48"/>
      <c r="N294" s="48"/>
      <c r="O294" s="48"/>
      <c r="P294" s="49"/>
      <c r="Q294" s="47"/>
      <c r="R294" s="48"/>
      <c r="S294" s="48"/>
      <c r="T294" s="48"/>
      <c r="U294" s="48"/>
      <c r="V294" s="49"/>
      <c r="W294" s="47"/>
      <c r="X294" s="48"/>
      <c r="Y294" s="48"/>
      <c r="Z294" s="48"/>
      <c r="AA294" s="48"/>
      <c r="AB294" s="49"/>
      <c r="AC294" s="47"/>
      <c r="AD294" s="48"/>
      <c r="AE294" s="48"/>
      <c r="AF294" s="48"/>
      <c r="AG294" s="48"/>
      <c r="AH294" s="48"/>
      <c r="AI294" s="47"/>
      <c r="AJ294" s="48"/>
      <c r="AK294" s="48"/>
      <c r="AL294" s="48"/>
      <c r="AM294" s="48"/>
      <c r="AN294" s="49"/>
      <c r="AO294" s="47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9"/>
      <c r="BF294" s="1"/>
    </row>
    <row r="295" spans="1:58" ht="21" customHeight="1">
      <c r="A295" s="1"/>
      <c r="B295" s="13" t="s">
        <v>965</v>
      </c>
      <c r="C295" s="14"/>
      <c r="D295" s="15"/>
      <c r="E295" s="13" t="s">
        <v>966</v>
      </c>
      <c r="F295" s="14"/>
      <c r="G295" s="14"/>
      <c r="H295" s="14"/>
      <c r="I295" s="14"/>
      <c r="J295" s="15"/>
      <c r="K295" s="13"/>
      <c r="L295" s="14"/>
      <c r="M295" s="14"/>
      <c r="N295" s="14"/>
      <c r="O295" s="14"/>
      <c r="P295" s="15"/>
      <c r="Q295" s="16" t="s">
        <v>540</v>
      </c>
      <c r="R295" s="70"/>
      <c r="S295" s="70"/>
      <c r="T295" s="70"/>
      <c r="U295" s="70"/>
      <c r="V295" s="18"/>
      <c r="W295" s="13"/>
      <c r="X295" s="14"/>
      <c r="Y295" s="14"/>
      <c r="Z295" s="14"/>
      <c r="AA295" s="14"/>
      <c r="AB295" s="15"/>
      <c r="AC295" s="13" t="s">
        <v>917</v>
      </c>
      <c r="AD295" s="14"/>
      <c r="AE295" s="14"/>
      <c r="AF295" s="14"/>
      <c r="AG295" s="14"/>
      <c r="AH295" s="14"/>
      <c r="AI295" s="13" t="s">
        <v>967</v>
      </c>
      <c r="AJ295" s="14"/>
      <c r="AK295" s="14"/>
      <c r="AL295" s="14"/>
      <c r="AM295" s="14"/>
      <c r="AN295" s="15"/>
      <c r="AO295" s="16" t="s">
        <v>968</v>
      </c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18"/>
      <c r="BF295" s="1"/>
    </row>
    <row r="296" spans="1:58" ht="21" customHeight="1">
      <c r="A296" s="1"/>
      <c r="B296" s="16"/>
      <c r="C296" s="17"/>
      <c r="D296" s="18"/>
      <c r="E296" s="16"/>
      <c r="F296" s="17"/>
      <c r="G296" s="17"/>
      <c r="H296" s="17"/>
      <c r="I296" s="17"/>
      <c r="J296" s="18"/>
      <c r="K296" s="16"/>
      <c r="L296" s="17"/>
      <c r="M296" s="17"/>
      <c r="N296" s="17"/>
      <c r="O296" s="17"/>
      <c r="P296" s="18"/>
      <c r="Q296" s="16" t="s">
        <v>993</v>
      </c>
      <c r="R296" s="17"/>
      <c r="S296" s="17"/>
      <c r="T296" s="17"/>
      <c r="U296" s="17"/>
      <c r="V296" s="18"/>
      <c r="W296" s="16"/>
      <c r="X296" s="17"/>
      <c r="Y296" s="17"/>
      <c r="Z296" s="17"/>
      <c r="AA296" s="17"/>
      <c r="AB296" s="18"/>
      <c r="AC296" s="16"/>
      <c r="AD296" s="17"/>
      <c r="AE296" s="17"/>
      <c r="AF296" s="17"/>
      <c r="AG296" s="17"/>
      <c r="AH296" s="17"/>
      <c r="AI296" s="16"/>
      <c r="AJ296" s="17"/>
      <c r="AK296" s="17"/>
      <c r="AL296" s="17"/>
      <c r="AM296" s="17"/>
      <c r="AN296" s="18"/>
      <c r="AO296" s="16"/>
      <c r="AP296" s="17" t="s">
        <v>969</v>
      </c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8"/>
      <c r="BF296" s="1"/>
    </row>
    <row r="297" spans="1:58" ht="21" customHeight="1">
      <c r="A297" s="1"/>
      <c r="B297" s="16"/>
      <c r="C297" s="17"/>
      <c r="D297" s="18"/>
      <c r="E297" s="16"/>
      <c r="F297" s="17"/>
      <c r="G297" s="17"/>
      <c r="H297" s="17"/>
      <c r="I297" s="17"/>
      <c r="J297" s="18"/>
      <c r="K297" s="16"/>
      <c r="L297" s="17"/>
      <c r="M297" s="17"/>
      <c r="N297" s="17"/>
      <c r="O297" s="17"/>
      <c r="P297" s="18"/>
      <c r="Q297" s="16"/>
      <c r="R297" s="17"/>
      <c r="S297" s="17"/>
      <c r="T297" s="17"/>
      <c r="U297" s="17"/>
      <c r="V297" s="18"/>
      <c r="W297" s="16"/>
      <c r="X297" s="17"/>
      <c r="Y297" s="17"/>
      <c r="Z297" s="17"/>
      <c r="AA297" s="17"/>
      <c r="AB297" s="18"/>
      <c r="AC297" s="16"/>
      <c r="AD297" s="17"/>
      <c r="AE297" s="17"/>
      <c r="AF297" s="17"/>
      <c r="AG297" s="17"/>
      <c r="AH297" s="17"/>
      <c r="AI297" s="16"/>
      <c r="AJ297" s="17"/>
      <c r="AK297" s="17"/>
      <c r="AL297" s="17"/>
      <c r="AM297" s="17"/>
      <c r="AN297" s="18"/>
      <c r="AO297" s="16" t="s">
        <v>972</v>
      </c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8"/>
      <c r="BF297" s="1"/>
    </row>
    <row r="298" spans="1:58" ht="21" customHeight="1">
      <c r="A298" s="1"/>
      <c r="B298" s="16"/>
      <c r="C298" s="17"/>
      <c r="D298" s="18"/>
      <c r="E298" s="16"/>
      <c r="F298" s="17"/>
      <c r="G298" s="17"/>
      <c r="H298" s="17"/>
      <c r="I298" s="17"/>
      <c r="J298" s="18"/>
      <c r="K298" s="16"/>
      <c r="L298" s="17"/>
      <c r="M298" s="17"/>
      <c r="N298" s="17"/>
      <c r="O298" s="17"/>
      <c r="P298" s="18"/>
      <c r="Q298" s="16"/>
      <c r="R298" s="17"/>
      <c r="S298" s="17"/>
      <c r="T298" s="17"/>
      <c r="U298" s="17"/>
      <c r="V298" s="18"/>
      <c r="W298" s="16"/>
      <c r="X298" s="17"/>
      <c r="Y298" s="17"/>
      <c r="Z298" s="17"/>
      <c r="AA298" s="17"/>
      <c r="AB298" s="18"/>
      <c r="AC298" s="16"/>
      <c r="AD298" s="17"/>
      <c r="AE298" s="17"/>
      <c r="AF298" s="17"/>
      <c r="AG298" s="17"/>
      <c r="AH298" s="17"/>
      <c r="AI298" s="16"/>
      <c r="AJ298" s="17"/>
      <c r="AK298" s="17"/>
      <c r="AL298" s="17"/>
      <c r="AM298" s="17"/>
      <c r="AN298" s="18"/>
      <c r="AO298" s="16"/>
      <c r="AP298" s="17" t="s">
        <v>973</v>
      </c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8"/>
      <c r="BF298" s="1"/>
    </row>
    <row r="299" spans="1:58" ht="21" customHeight="1">
      <c r="A299" s="1"/>
      <c r="B299" s="16"/>
      <c r="C299" s="17"/>
      <c r="D299" s="18"/>
      <c r="E299" s="16"/>
      <c r="F299" s="17"/>
      <c r="G299" s="17"/>
      <c r="H299" s="17"/>
      <c r="I299" s="17"/>
      <c r="J299" s="18"/>
      <c r="K299" s="16"/>
      <c r="L299" s="17"/>
      <c r="M299" s="17"/>
      <c r="N299" s="17"/>
      <c r="O299" s="17"/>
      <c r="P299" s="18"/>
      <c r="Q299" s="16"/>
      <c r="R299" s="17"/>
      <c r="S299" s="17"/>
      <c r="T299" s="17"/>
      <c r="U299" s="17"/>
      <c r="V299" s="18"/>
      <c r="W299" s="16"/>
      <c r="X299" s="17"/>
      <c r="Y299" s="17"/>
      <c r="Z299" s="17"/>
      <c r="AA299" s="17"/>
      <c r="AB299" s="18"/>
      <c r="AC299" s="16"/>
      <c r="AD299" s="17"/>
      <c r="AE299" s="17"/>
      <c r="AF299" s="17"/>
      <c r="AG299" s="17"/>
      <c r="AH299" s="17"/>
      <c r="AI299" s="16"/>
      <c r="AJ299" s="17"/>
      <c r="AK299" s="17"/>
      <c r="AL299" s="17"/>
      <c r="AM299" s="17"/>
      <c r="AN299" s="18"/>
      <c r="AO299" s="16" t="s">
        <v>974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8"/>
      <c r="BF299" s="1"/>
    </row>
    <row r="300" spans="1:58" ht="21" customHeight="1">
      <c r="A300" s="1"/>
      <c r="B300" s="16"/>
      <c r="C300" s="17"/>
      <c r="D300" s="18"/>
      <c r="E300" s="16"/>
      <c r="F300" s="17"/>
      <c r="G300" s="17"/>
      <c r="H300" s="17"/>
      <c r="I300" s="17"/>
      <c r="J300" s="18"/>
      <c r="K300" s="16"/>
      <c r="L300" s="17"/>
      <c r="M300" s="17"/>
      <c r="N300" s="17"/>
      <c r="O300" s="17"/>
      <c r="P300" s="18"/>
      <c r="Q300" s="16"/>
      <c r="R300" s="17"/>
      <c r="S300" s="17"/>
      <c r="T300" s="17"/>
      <c r="U300" s="17"/>
      <c r="V300" s="18"/>
      <c r="W300" s="16"/>
      <c r="X300" s="17"/>
      <c r="Y300" s="17"/>
      <c r="Z300" s="17"/>
      <c r="AA300" s="17"/>
      <c r="AB300" s="18"/>
      <c r="AC300" s="16"/>
      <c r="AD300" s="17"/>
      <c r="AE300" s="17"/>
      <c r="AF300" s="17"/>
      <c r="AG300" s="17"/>
      <c r="AH300" s="17"/>
      <c r="AI300" s="16"/>
      <c r="AJ300" s="17"/>
      <c r="AK300" s="17"/>
      <c r="AL300" s="17"/>
      <c r="AM300" s="17"/>
      <c r="AN300" s="18"/>
      <c r="AO300" s="16"/>
      <c r="AP300" s="17" t="s">
        <v>975</v>
      </c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8"/>
      <c r="BF300" s="1"/>
    </row>
    <row r="301" spans="1:58" ht="21" customHeight="1">
      <c r="A301" s="1"/>
      <c r="B301" s="16"/>
      <c r="C301" s="17"/>
      <c r="D301" s="18"/>
      <c r="E301" s="16"/>
      <c r="F301" s="17"/>
      <c r="G301" s="17"/>
      <c r="H301" s="17"/>
      <c r="I301" s="17"/>
      <c r="J301" s="18"/>
      <c r="K301" s="16"/>
      <c r="L301" s="17"/>
      <c r="M301" s="17"/>
      <c r="N301" s="17"/>
      <c r="O301" s="17"/>
      <c r="P301" s="18"/>
      <c r="Q301" s="16"/>
      <c r="R301" s="17"/>
      <c r="S301" s="17"/>
      <c r="T301" s="17"/>
      <c r="U301" s="17"/>
      <c r="V301" s="18"/>
      <c r="W301" s="16"/>
      <c r="X301" s="17"/>
      <c r="Y301" s="17"/>
      <c r="Z301" s="17"/>
      <c r="AA301" s="17"/>
      <c r="AB301" s="18"/>
      <c r="AC301" s="16"/>
      <c r="AD301" s="17"/>
      <c r="AE301" s="17"/>
      <c r="AF301" s="17"/>
      <c r="AG301" s="17"/>
      <c r="AH301" s="17"/>
      <c r="AI301" s="16"/>
      <c r="AJ301" s="17"/>
      <c r="AK301" s="17"/>
      <c r="AL301" s="17"/>
      <c r="AM301" s="17"/>
      <c r="AN301" s="18"/>
      <c r="AO301" s="16"/>
      <c r="AP301" s="17" t="s">
        <v>976</v>
      </c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8"/>
      <c r="BF301" s="1"/>
    </row>
    <row r="302" spans="1:58" ht="21" customHeight="1">
      <c r="A302" s="1"/>
      <c r="B302" s="16"/>
      <c r="C302" s="17"/>
      <c r="D302" s="18"/>
      <c r="E302" s="16"/>
      <c r="F302" s="17"/>
      <c r="G302" s="17"/>
      <c r="H302" s="17"/>
      <c r="I302" s="17"/>
      <c r="J302" s="18"/>
      <c r="K302" s="16"/>
      <c r="L302" s="17"/>
      <c r="M302" s="17"/>
      <c r="N302" s="17"/>
      <c r="O302" s="17"/>
      <c r="P302" s="18"/>
      <c r="Q302" s="16"/>
      <c r="R302" s="17"/>
      <c r="S302" s="17"/>
      <c r="T302" s="17"/>
      <c r="U302" s="17"/>
      <c r="V302" s="18"/>
      <c r="W302" s="16"/>
      <c r="X302" s="17"/>
      <c r="Y302" s="17"/>
      <c r="Z302" s="17"/>
      <c r="AA302" s="17"/>
      <c r="AB302" s="18"/>
      <c r="AC302" s="16"/>
      <c r="AD302" s="17"/>
      <c r="AE302" s="17"/>
      <c r="AF302" s="17"/>
      <c r="AG302" s="17"/>
      <c r="AH302" s="17"/>
      <c r="AI302" s="16"/>
      <c r="AJ302" s="17"/>
      <c r="AK302" s="17"/>
      <c r="AL302" s="17"/>
      <c r="AM302" s="17"/>
      <c r="AN302" s="18"/>
      <c r="AO302" s="16"/>
      <c r="AP302" s="17" t="s">
        <v>977</v>
      </c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8"/>
      <c r="BF302" s="1"/>
    </row>
    <row r="303" spans="1:58" ht="21" customHeight="1">
      <c r="A303" s="1"/>
      <c r="B303" s="16"/>
      <c r="C303" s="17"/>
      <c r="D303" s="18"/>
      <c r="E303" s="16"/>
      <c r="F303" s="17"/>
      <c r="G303" s="17"/>
      <c r="H303" s="17"/>
      <c r="I303" s="17"/>
      <c r="J303" s="18"/>
      <c r="K303" s="16"/>
      <c r="L303" s="17"/>
      <c r="M303" s="17"/>
      <c r="N303" s="17"/>
      <c r="O303" s="17"/>
      <c r="P303" s="18"/>
      <c r="Q303" s="16"/>
      <c r="R303" s="17"/>
      <c r="S303" s="17"/>
      <c r="T303" s="17"/>
      <c r="U303" s="17"/>
      <c r="V303" s="18"/>
      <c r="W303" s="16"/>
      <c r="X303" s="17"/>
      <c r="Y303" s="17"/>
      <c r="Z303" s="17"/>
      <c r="AA303" s="17"/>
      <c r="AB303" s="18"/>
      <c r="AC303" s="16"/>
      <c r="AD303" s="17"/>
      <c r="AE303" s="17"/>
      <c r="AF303" s="17"/>
      <c r="AG303" s="17"/>
      <c r="AH303" s="17"/>
      <c r="AI303" s="16"/>
      <c r="AJ303" s="17"/>
      <c r="AK303" s="17"/>
      <c r="AL303" s="17"/>
      <c r="AM303" s="17"/>
      <c r="AN303" s="18"/>
      <c r="AO303" s="16"/>
      <c r="AP303" s="17" t="s">
        <v>978</v>
      </c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8"/>
      <c r="BF303" s="1"/>
    </row>
    <row r="304" spans="1:58" ht="21" customHeight="1">
      <c r="A304" s="1"/>
      <c r="B304" s="16"/>
      <c r="C304" s="17"/>
      <c r="D304" s="18"/>
      <c r="E304" s="16"/>
      <c r="F304" s="17"/>
      <c r="G304" s="17"/>
      <c r="H304" s="17"/>
      <c r="I304" s="17"/>
      <c r="J304" s="18"/>
      <c r="K304" s="16"/>
      <c r="L304" s="17"/>
      <c r="M304" s="17"/>
      <c r="N304" s="17"/>
      <c r="O304" s="17"/>
      <c r="P304" s="18"/>
      <c r="Q304" s="16"/>
      <c r="R304" s="17"/>
      <c r="S304" s="17"/>
      <c r="T304" s="17"/>
      <c r="U304" s="17"/>
      <c r="V304" s="18"/>
      <c r="W304" s="16"/>
      <c r="X304" s="17"/>
      <c r="Y304" s="17"/>
      <c r="Z304" s="17"/>
      <c r="AA304" s="17"/>
      <c r="AB304" s="18"/>
      <c r="AC304" s="16"/>
      <c r="AD304" s="17"/>
      <c r="AE304" s="17"/>
      <c r="AF304" s="17"/>
      <c r="AG304" s="17"/>
      <c r="AH304" s="17"/>
      <c r="AI304" s="16"/>
      <c r="AJ304" s="17"/>
      <c r="AK304" s="17"/>
      <c r="AL304" s="17"/>
      <c r="AM304" s="17"/>
      <c r="AN304" s="18"/>
      <c r="AO304" s="16" t="s">
        <v>979</v>
      </c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8"/>
      <c r="BF304" s="1"/>
    </row>
    <row r="305" spans="1:58" ht="21" customHeight="1">
      <c r="A305" s="1"/>
      <c r="B305" s="16"/>
      <c r="C305" s="17"/>
      <c r="D305" s="18"/>
      <c r="E305" s="16"/>
      <c r="F305" s="17"/>
      <c r="G305" s="17"/>
      <c r="H305" s="17"/>
      <c r="I305" s="17"/>
      <c r="J305" s="18"/>
      <c r="K305" s="16"/>
      <c r="L305" s="17"/>
      <c r="M305" s="17"/>
      <c r="N305" s="17"/>
      <c r="O305" s="17"/>
      <c r="P305" s="18"/>
      <c r="Q305" s="16"/>
      <c r="R305" s="17"/>
      <c r="S305" s="17"/>
      <c r="T305" s="17"/>
      <c r="U305" s="17"/>
      <c r="V305" s="18"/>
      <c r="W305" s="16"/>
      <c r="X305" s="17"/>
      <c r="Y305" s="17"/>
      <c r="Z305" s="17"/>
      <c r="AA305" s="17"/>
      <c r="AB305" s="18"/>
      <c r="AC305" s="16"/>
      <c r="AD305" s="17"/>
      <c r="AE305" s="17"/>
      <c r="AF305" s="17"/>
      <c r="AG305" s="17"/>
      <c r="AH305" s="17"/>
      <c r="AI305" s="16"/>
      <c r="AJ305" s="17"/>
      <c r="AK305" s="17"/>
      <c r="AL305" s="17"/>
      <c r="AM305" s="17"/>
      <c r="AN305" s="18"/>
      <c r="AO305" s="16"/>
      <c r="AP305" s="17" t="s">
        <v>973</v>
      </c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8"/>
      <c r="BF305" s="1"/>
    </row>
    <row r="306" spans="1:58" ht="21" customHeight="1">
      <c r="A306" s="1"/>
      <c r="B306" s="16"/>
      <c r="C306" s="17"/>
      <c r="D306" s="18"/>
      <c r="E306" s="16"/>
      <c r="F306" s="17"/>
      <c r="G306" s="17"/>
      <c r="H306" s="17"/>
      <c r="I306" s="17"/>
      <c r="J306" s="18"/>
      <c r="K306" s="16"/>
      <c r="L306" s="17"/>
      <c r="M306" s="17"/>
      <c r="N306" s="17"/>
      <c r="O306" s="17"/>
      <c r="P306" s="18"/>
      <c r="Q306" s="16"/>
      <c r="R306" s="17"/>
      <c r="S306" s="17"/>
      <c r="T306" s="17"/>
      <c r="U306" s="17"/>
      <c r="V306" s="18"/>
      <c r="W306" s="16"/>
      <c r="X306" s="17"/>
      <c r="Y306" s="17"/>
      <c r="Z306" s="17"/>
      <c r="AA306" s="17"/>
      <c r="AB306" s="18"/>
      <c r="AC306" s="16"/>
      <c r="AD306" s="17"/>
      <c r="AE306" s="17"/>
      <c r="AF306" s="17"/>
      <c r="AG306" s="17"/>
      <c r="AH306" s="17"/>
      <c r="AI306" s="16"/>
      <c r="AJ306" s="17"/>
      <c r="AK306" s="17"/>
      <c r="AL306" s="17"/>
      <c r="AM306" s="17"/>
      <c r="AN306" s="18"/>
      <c r="AO306" s="16" t="s">
        <v>980</v>
      </c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8"/>
      <c r="BF306" s="1"/>
    </row>
    <row r="307" spans="1:58" ht="21" customHeight="1">
      <c r="A307" s="1"/>
      <c r="B307" s="16"/>
      <c r="C307" s="17"/>
      <c r="D307" s="18"/>
      <c r="E307" s="16"/>
      <c r="F307" s="17"/>
      <c r="G307" s="17"/>
      <c r="H307" s="17"/>
      <c r="I307" s="17"/>
      <c r="J307" s="18"/>
      <c r="K307" s="16"/>
      <c r="L307" s="17"/>
      <c r="M307" s="17"/>
      <c r="N307" s="17"/>
      <c r="O307" s="17"/>
      <c r="P307" s="18"/>
      <c r="Q307" s="16"/>
      <c r="R307" s="17"/>
      <c r="S307" s="17"/>
      <c r="T307" s="17"/>
      <c r="U307" s="17"/>
      <c r="V307" s="18"/>
      <c r="W307" s="16"/>
      <c r="X307" s="17"/>
      <c r="Y307" s="17"/>
      <c r="Z307" s="17"/>
      <c r="AA307" s="17"/>
      <c r="AB307" s="18"/>
      <c r="AC307" s="16"/>
      <c r="AD307" s="17"/>
      <c r="AE307" s="17"/>
      <c r="AF307" s="17"/>
      <c r="AG307" s="17"/>
      <c r="AH307" s="17"/>
      <c r="AI307" s="16"/>
      <c r="AJ307" s="17"/>
      <c r="AK307" s="17"/>
      <c r="AL307" s="17"/>
      <c r="AM307" s="17"/>
      <c r="AN307" s="18"/>
      <c r="AO307" s="16"/>
      <c r="AP307" s="17" t="s">
        <v>981</v>
      </c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8"/>
      <c r="BF307" s="1"/>
    </row>
    <row r="308" spans="1:58" ht="21" customHeight="1">
      <c r="A308" s="1"/>
      <c r="B308" s="47"/>
      <c r="C308" s="48"/>
      <c r="D308" s="49"/>
      <c r="E308" s="47"/>
      <c r="F308" s="48"/>
      <c r="G308" s="48"/>
      <c r="H308" s="48"/>
      <c r="I308" s="48"/>
      <c r="J308" s="49"/>
      <c r="K308" s="47"/>
      <c r="L308" s="48"/>
      <c r="M308" s="48"/>
      <c r="N308" s="48"/>
      <c r="O308" s="48"/>
      <c r="P308" s="49"/>
      <c r="Q308" s="47"/>
      <c r="R308" s="48"/>
      <c r="S308" s="48"/>
      <c r="T308" s="48"/>
      <c r="U308" s="48"/>
      <c r="V308" s="49"/>
      <c r="W308" s="47"/>
      <c r="X308" s="48"/>
      <c r="Y308" s="48"/>
      <c r="Z308" s="48"/>
      <c r="AA308" s="48"/>
      <c r="AB308" s="49"/>
      <c r="AC308" s="47"/>
      <c r="AD308" s="48"/>
      <c r="AE308" s="48"/>
      <c r="AF308" s="48"/>
      <c r="AG308" s="48"/>
      <c r="AH308" s="48"/>
      <c r="AI308" s="47"/>
      <c r="AJ308" s="48"/>
      <c r="AK308" s="48"/>
      <c r="AL308" s="48"/>
      <c r="AM308" s="48"/>
      <c r="AN308" s="49"/>
      <c r="AO308" s="47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9"/>
      <c r="BF308" s="1"/>
    </row>
    <row r="309" spans="1:58" ht="21" customHeight="1">
      <c r="A309" s="1"/>
      <c r="B309" s="13" t="s">
        <v>994</v>
      </c>
      <c r="C309" s="14"/>
      <c r="D309" s="15"/>
      <c r="E309" s="13" t="s">
        <v>995</v>
      </c>
      <c r="F309" s="14"/>
      <c r="G309" s="14"/>
      <c r="H309" s="14"/>
      <c r="I309" s="14"/>
      <c r="J309" s="15"/>
      <c r="K309" s="13"/>
      <c r="L309" s="14"/>
      <c r="M309" s="14"/>
      <c r="N309" s="14"/>
      <c r="O309" s="14"/>
      <c r="P309" s="15"/>
      <c r="Q309" s="16" t="s">
        <v>540</v>
      </c>
      <c r="R309" s="70"/>
      <c r="S309" s="70"/>
      <c r="T309" s="70"/>
      <c r="U309" s="70"/>
      <c r="V309" s="18"/>
      <c r="W309" s="13"/>
      <c r="X309" s="14"/>
      <c r="Y309" s="14"/>
      <c r="Z309" s="14"/>
      <c r="AA309" s="14"/>
      <c r="AB309" s="15"/>
      <c r="AC309" s="13" t="s">
        <v>917</v>
      </c>
      <c r="AD309" s="14"/>
      <c r="AE309" s="14"/>
      <c r="AF309" s="14"/>
      <c r="AG309" s="14"/>
      <c r="AH309" s="14"/>
      <c r="AI309" s="13" t="s">
        <v>1008</v>
      </c>
      <c r="AJ309" s="14"/>
      <c r="AK309" s="14"/>
      <c r="AL309" s="14"/>
      <c r="AM309" s="14"/>
      <c r="AN309" s="15"/>
      <c r="AO309" s="16" t="s">
        <v>996</v>
      </c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18"/>
      <c r="BF309" s="1"/>
    </row>
    <row r="310" spans="1:58" ht="21" customHeight="1">
      <c r="A310" s="1"/>
      <c r="B310" s="16"/>
      <c r="C310" s="17"/>
      <c r="D310" s="18"/>
      <c r="E310" s="16"/>
      <c r="F310" s="17"/>
      <c r="G310" s="17"/>
      <c r="H310" s="17"/>
      <c r="I310" s="17"/>
      <c r="J310" s="18"/>
      <c r="K310" s="16"/>
      <c r="L310" s="17"/>
      <c r="M310" s="17"/>
      <c r="N310" s="17"/>
      <c r="O310" s="17"/>
      <c r="P310" s="18"/>
      <c r="Q310" s="16" t="s">
        <v>915</v>
      </c>
      <c r="R310" s="17"/>
      <c r="S310" s="17"/>
      <c r="T310" s="17"/>
      <c r="U310" s="17"/>
      <c r="V310" s="18"/>
      <c r="W310" s="16"/>
      <c r="X310" s="17"/>
      <c r="Y310" s="17"/>
      <c r="Z310" s="17"/>
      <c r="AA310" s="17"/>
      <c r="AB310" s="18"/>
      <c r="AC310" s="16"/>
      <c r="AD310" s="17"/>
      <c r="AE310" s="17"/>
      <c r="AF310" s="17"/>
      <c r="AG310" s="17"/>
      <c r="AH310" s="17"/>
      <c r="AI310" s="16"/>
      <c r="AJ310" s="17"/>
      <c r="AK310" s="17"/>
      <c r="AL310" s="17"/>
      <c r="AM310" s="17"/>
      <c r="AN310" s="18"/>
      <c r="AO310" s="16"/>
      <c r="AP310" s="17" t="s">
        <v>1004</v>
      </c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8"/>
      <c r="BF310" s="1"/>
    </row>
    <row r="311" spans="1:58" ht="21" customHeight="1">
      <c r="A311" s="1"/>
      <c r="B311" s="16"/>
      <c r="C311" s="17"/>
      <c r="D311" s="18"/>
      <c r="E311" s="16"/>
      <c r="F311" s="17"/>
      <c r="G311" s="17"/>
      <c r="H311" s="17"/>
      <c r="I311" s="17"/>
      <c r="J311" s="18"/>
      <c r="K311" s="16"/>
      <c r="L311" s="17"/>
      <c r="M311" s="17"/>
      <c r="N311" s="17"/>
      <c r="O311" s="17"/>
      <c r="P311" s="18"/>
      <c r="Q311" s="16" t="s">
        <v>576</v>
      </c>
      <c r="R311" s="17"/>
      <c r="S311" s="17"/>
      <c r="T311" s="17"/>
      <c r="U311" s="17"/>
      <c r="V311" s="18"/>
      <c r="W311" s="16"/>
      <c r="X311" s="17"/>
      <c r="Y311" s="17"/>
      <c r="Z311" s="17"/>
      <c r="AA311" s="17"/>
      <c r="AB311" s="18"/>
      <c r="AC311" s="16"/>
      <c r="AD311" s="17"/>
      <c r="AE311" s="17"/>
      <c r="AF311" s="17"/>
      <c r="AG311" s="17"/>
      <c r="AH311" s="17"/>
      <c r="AI311" s="16"/>
      <c r="AJ311" s="17"/>
      <c r="AK311" s="17"/>
      <c r="AL311" s="17"/>
      <c r="AM311" s="17"/>
      <c r="AN311" s="18"/>
      <c r="AO311" s="16" t="s">
        <v>998</v>
      </c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8"/>
      <c r="BF311" s="1"/>
    </row>
    <row r="312" spans="1:58" ht="21" customHeight="1">
      <c r="A312" s="1"/>
      <c r="B312" s="16"/>
      <c r="C312" s="17"/>
      <c r="D312" s="18"/>
      <c r="E312" s="16"/>
      <c r="F312" s="17"/>
      <c r="G312" s="17"/>
      <c r="H312" s="17"/>
      <c r="I312" s="17"/>
      <c r="J312" s="18"/>
      <c r="K312" s="16"/>
      <c r="L312" s="17"/>
      <c r="M312" s="17"/>
      <c r="N312" s="17"/>
      <c r="O312" s="17"/>
      <c r="P312" s="18"/>
      <c r="Q312" s="16" t="s">
        <v>1007</v>
      </c>
      <c r="R312" s="17"/>
      <c r="S312" s="17"/>
      <c r="T312" s="17"/>
      <c r="U312" s="17"/>
      <c r="V312" s="18"/>
      <c r="W312" s="16"/>
      <c r="X312" s="17"/>
      <c r="Y312" s="17"/>
      <c r="Z312" s="17"/>
      <c r="AA312" s="17"/>
      <c r="AB312" s="18"/>
      <c r="AC312" s="16"/>
      <c r="AD312" s="17"/>
      <c r="AE312" s="17"/>
      <c r="AF312" s="17"/>
      <c r="AG312" s="17"/>
      <c r="AH312" s="17"/>
      <c r="AI312" s="16"/>
      <c r="AJ312" s="17"/>
      <c r="AK312" s="17"/>
      <c r="AL312" s="17"/>
      <c r="AM312" s="17"/>
      <c r="AN312" s="18"/>
      <c r="AO312" s="16"/>
      <c r="AP312" s="17" t="s">
        <v>1005</v>
      </c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8"/>
      <c r="BF312" s="1"/>
    </row>
    <row r="313" spans="1:58" ht="21" customHeight="1">
      <c r="A313" s="1"/>
      <c r="B313" s="16"/>
      <c r="C313" s="17"/>
      <c r="D313" s="18"/>
      <c r="E313" s="16"/>
      <c r="F313" s="17"/>
      <c r="G313" s="17"/>
      <c r="H313" s="17"/>
      <c r="I313" s="17"/>
      <c r="J313" s="18"/>
      <c r="K313" s="16"/>
      <c r="L313" s="17"/>
      <c r="M313" s="17"/>
      <c r="N313" s="17"/>
      <c r="O313" s="17"/>
      <c r="P313" s="18"/>
      <c r="Q313" s="16"/>
      <c r="R313" s="17"/>
      <c r="S313" s="17"/>
      <c r="T313" s="17"/>
      <c r="U313" s="17"/>
      <c r="V313" s="18"/>
      <c r="W313" s="16"/>
      <c r="X313" s="17"/>
      <c r="Y313" s="17"/>
      <c r="Z313" s="17"/>
      <c r="AA313" s="17"/>
      <c r="AB313" s="18"/>
      <c r="AC313" s="16"/>
      <c r="AD313" s="17"/>
      <c r="AE313" s="17"/>
      <c r="AF313" s="17"/>
      <c r="AG313" s="17"/>
      <c r="AH313" s="17"/>
      <c r="AI313" s="16"/>
      <c r="AJ313" s="17"/>
      <c r="AK313" s="17"/>
      <c r="AL313" s="17"/>
      <c r="AM313" s="17"/>
      <c r="AN313" s="18"/>
      <c r="AO313" s="16" t="s">
        <v>1002</v>
      </c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8"/>
      <c r="BF313" s="1"/>
    </row>
    <row r="314" spans="1:58" ht="21" customHeight="1">
      <c r="A314" s="1"/>
      <c r="B314" s="16"/>
      <c r="C314" s="17"/>
      <c r="D314" s="18"/>
      <c r="E314" s="16"/>
      <c r="F314" s="17"/>
      <c r="G314" s="17"/>
      <c r="H314" s="17"/>
      <c r="I314" s="17"/>
      <c r="J314" s="18"/>
      <c r="K314" s="16"/>
      <c r="L314" s="17"/>
      <c r="M314" s="17"/>
      <c r="N314" s="17"/>
      <c r="O314" s="17"/>
      <c r="P314" s="18"/>
      <c r="Q314" s="16"/>
      <c r="R314" s="17"/>
      <c r="S314" s="17"/>
      <c r="T314" s="17"/>
      <c r="U314" s="17"/>
      <c r="V314" s="18"/>
      <c r="W314" s="16"/>
      <c r="X314" s="17"/>
      <c r="Y314" s="17"/>
      <c r="Z314" s="17"/>
      <c r="AA314" s="17"/>
      <c r="AB314" s="18"/>
      <c r="AC314" s="16"/>
      <c r="AD314" s="17"/>
      <c r="AE314" s="17"/>
      <c r="AF314" s="17"/>
      <c r="AG314" s="17"/>
      <c r="AH314" s="17"/>
      <c r="AI314" s="16"/>
      <c r="AJ314" s="17"/>
      <c r="AK314" s="17"/>
      <c r="AL314" s="17"/>
      <c r="AM314" s="17"/>
      <c r="AN314" s="18"/>
      <c r="AO314" s="16" t="s">
        <v>1003</v>
      </c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8"/>
      <c r="BF314" s="1"/>
    </row>
    <row r="315" spans="1:58" ht="21" customHeight="1">
      <c r="A315" s="1"/>
      <c r="B315" s="16"/>
      <c r="C315" s="17"/>
      <c r="D315" s="18"/>
      <c r="E315" s="16"/>
      <c r="F315" s="17"/>
      <c r="G315" s="17"/>
      <c r="H315" s="17"/>
      <c r="I315" s="17"/>
      <c r="J315" s="18"/>
      <c r="K315" s="16"/>
      <c r="L315" s="17"/>
      <c r="M315" s="17"/>
      <c r="N315" s="17"/>
      <c r="O315" s="17"/>
      <c r="P315" s="18"/>
      <c r="Q315" s="16"/>
      <c r="R315" s="17"/>
      <c r="S315" s="17"/>
      <c r="T315" s="17"/>
      <c r="U315" s="17"/>
      <c r="V315" s="18"/>
      <c r="W315" s="16"/>
      <c r="X315" s="17"/>
      <c r="Y315" s="17"/>
      <c r="Z315" s="17"/>
      <c r="AA315" s="17"/>
      <c r="AB315" s="18"/>
      <c r="AC315" s="16"/>
      <c r="AD315" s="17"/>
      <c r="AE315" s="17"/>
      <c r="AF315" s="17"/>
      <c r="AG315" s="17"/>
      <c r="AH315" s="17"/>
      <c r="AI315" s="16"/>
      <c r="AJ315" s="17"/>
      <c r="AK315" s="17"/>
      <c r="AL315" s="17"/>
      <c r="AM315" s="17"/>
      <c r="AN315" s="18"/>
      <c r="AO315" s="16"/>
      <c r="AP315" s="17" t="s">
        <v>1006</v>
      </c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8"/>
      <c r="BF315" s="1"/>
    </row>
    <row r="316" spans="1:58" ht="15.75" customHeight="1">
      <c r="A316" s="8"/>
      <c r="B316" s="47"/>
      <c r="C316" s="48"/>
      <c r="D316" s="49"/>
      <c r="E316" s="47"/>
      <c r="F316" s="48"/>
      <c r="G316" s="48"/>
      <c r="H316" s="48"/>
      <c r="I316" s="48"/>
      <c r="J316" s="49"/>
      <c r="K316" s="47"/>
      <c r="L316" s="48"/>
      <c r="M316" s="48"/>
      <c r="N316" s="48"/>
      <c r="O316" s="48"/>
      <c r="P316" s="49"/>
      <c r="Q316" s="47"/>
      <c r="R316" s="48"/>
      <c r="S316" s="48"/>
      <c r="T316" s="48"/>
      <c r="U316" s="48"/>
      <c r="V316" s="49"/>
      <c r="W316" s="47"/>
      <c r="X316" s="48"/>
      <c r="Y316" s="48"/>
      <c r="Z316" s="48"/>
      <c r="AA316" s="48"/>
      <c r="AB316" s="49"/>
      <c r="AC316" s="47"/>
      <c r="AD316" s="48"/>
      <c r="AE316" s="48"/>
      <c r="AF316" s="48"/>
      <c r="AG316" s="48"/>
      <c r="AH316" s="48"/>
      <c r="AI316" s="47"/>
      <c r="AJ316" s="48"/>
      <c r="AK316" s="48"/>
      <c r="AL316" s="48"/>
      <c r="AM316" s="48"/>
      <c r="AN316" s="49"/>
      <c r="AO316" s="47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9"/>
      <c r="BF316" s="8"/>
    </row>
    <row r="317" spans="1:58" ht="15.75" customHeight="1">
      <c r="A317" s="8"/>
      <c r="B317" s="13" t="s">
        <v>1018</v>
      </c>
      <c r="C317" s="14"/>
      <c r="D317" s="15"/>
      <c r="E317" s="13" t="s">
        <v>1009</v>
      </c>
      <c r="F317" s="14"/>
      <c r="G317" s="14"/>
      <c r="H317" s="14"/>
      <c r="I317" s="14"/>
      <c r="J317" s="15"/>
      <c r="K317" s="13"/>
      <c r="L317" s="14"/>
      <c r="M317" s="14"/>
      <c r="N317" s="14"/>
      <c r="O317" s="14"/>
      <c r="P317" s="15"/>
      <c r="Q317" s="16" t="s">
        <v>540</v>
      </c>
      <c r="R317" s="70"/>
      <c r="S317" s="70"/>
      <c r="T317" s="70"/>
      <c r="U317" s="70"/>
      <c r="V317" s="18"/>
      <c r="W317" s="13"/>
      <c r="X317" s="14"/>
      <c r="Y317" s="14"/>
      <c r="Z317" s="14"/>
      <c r="AA317" s="14"/>
      <c r="AB317" s="15"/>
      <c r="AC317" s="13" t="s">
        <v>917</v>
      </c>
      <c r="AD317" s="14"/>
      <c r="AE317" s="14"/>
      <c r="AF317" s="14"/>
      <c r="AG317" s="14"/>
      <c r="AH317" s="14"/>
      <c r="AI317" s="13" t="s">
        <v>1010</v>
      </c>
      <c r="AJ317" s="14"/>
      <c r="AK317" s="14"/>
      <c r="AL317" s="14"/>
      <c r="AM317" s="14"/>
      <c r="AN317" s="15"/>
      <c r="AO317" s="16" t="s">
        <v>996</v>
      </c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18"/>
      <c r="BF317" s="8"/>
    </row>
    <row r="318" spans="1:58" ht="15.75" customHeight="1">
      <c r="A318" s="8"/>
      <c r="B318" s="16"/>
      <c r="C318" s="17"/>
      <c r="D318" s="18"/>
      <c r="E318" s="16"/>
      <c r="F318" s="17"/>
      <c r="G318" s="17"/>
      <c r="H318" s="17"/>
      <c r="I318" s="17"/>
      <c r="J318" s="18"/>
      <c r="K318" s="16"/>
      <c r="L318" s="17"/>
      <c r="M318" s="17"/>
      <c r="N318" s="17"/>
      <c r="O318" s="17"/>
      <c r="P318" s="18"/>
      <c r="Q318" s="16"/>
      <c r="R318" s="17"/>
      <c r="S318" s="17"/>
      <c r="T318" s="17"/>
      <c r="U318" s="17"/>
      <c r="V318" s="18"/>
      <c r="W318" s="16"/>
      <c r="X318" s="17"/>
      <c r="Y318" s="17"/>
      <c r="Z318" s="17"/>
      <c r="AA318" s="17"/>
      <c r="AB318" s="18"/>
      <c r="AC318" s="16"/>
      <c r="AD318" s="17"/>
      <c r="AE318" s="17"/>
      <c r="AF318" s="17"/>
      <c r="AG318" s="17"/>
      <c r="AH318" s="17"/>
      <c r="AI318" s="16"/>
      <c r="AJ318" s="17"/>
      <c r="AK318" s="17"/>
      <c r="AL318" s="17"/>
      <c r="AM318" s="17"/>
      <c r="AN318" s="18"/>
      <c r="AO318" s="16"/>
      <c r="AP318" s="17" t="s">
        <v>1011</v>
      </c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8"/>
      <c r="BF318" s="8"/>
    </row>
    <row r="319" spans="1:58" ht="15.75" customHeight="1">
      <c r="A319" s="8"/>
      <c r="B319" s="16"/>
      <c r="C319" s="17"/>
      <c r="D319" s="18"/>
      <c r="E319" s="16"/>
      <c r="F319" s="17"/>
      <c r="G319" s="17"/>
      <c r="H319" s="17"/>
      <c r="I319" s="17"/>
      <c r="J319" s="18"/>
      <c r="K319" s="16"/>
      <c r="L319" s="17"/>
      <c r="M319" s="17"/>
      <c r="N319" s="17"/>
      <c r="O319" s="17"/>
      <c r="P319" s="18"/>
      <c r="Q319" s="16"/>
      <c r="R319" s="17"/>
      <c r="S319" s="17"/>
      <c r="T319" s="17"/>
      <c r="U319" s="17"/>
      <c r="V319" s="18"/>
      <c r="W319" s="16"/>
      <c r="X319" s="17"/>
      <c r="Y319" s="17"/>
      <c r="Z319" s="17"/>
      <c r="AA319" s="17"/>
      <c r="AB319" s="18"/>
      <c r="AC319" s="16"/>
      <c r="AD319" s="17"/>
      <c r="AE319" s="17"/>
      <c r="AF319" s="17"/>
      <c r="AG319" s="17"/>
      <c r="AH319" s="17"/>
      <c r="AI319" s="16"/>
      <c r="AJ319" s="17"/>
      <c r="AK319" s="17"/>
      <c r="AL319" s="17"/>
      <c r="AM319" s="17"/>
      <c r="AN319" s="18"/>
      <c r="AO319" s="16"/>
      <c r="AP319" s="17" t="s">
        <v>1012</v>
      </c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8"/>
      <c r="BF319" s="8"/>
    </row>
    <row r="320" spans="1:58" ht="15.75" customHeight="1">
      <c r="A320" s="8"/>
      <c r="B320" s="16"/>
      <c r="C320" s="17"/>
      <c r="D320" s="18"/>
      <c r="E320" s="16"/>
      <c r="F320" s="17"/>
      <c r="G320" s="17"/>
      <c r="H320" s="17"/>
      <c r="I320" s="17"/>
      <c r="J320" s="18"/>
      <c r="K320" s="16"/>
      <c r="L320" s="17"/>
      <c r="M320" s="17"/>
      <c r="N320" s="17"/>
      <c r="O320" s="17"/>
      <c r="P320" s="18"/>
      <c r="Q320" s="16"/>
      <c r="R320" s="17"/>
      <c r="S320" s="17"/>
      <c r="T320" s="17"/>
      <c r="U320" s="17"/>
      <c r="V320" s="18"/>
      <c r="W320" s="16"/>
      <c r="X320" s="17"/>
      <c r="Y320" s="17"/>
      <c r="Z320" s="17"/>
      <c r="AA320" s="17"/>
      <c r="AB320" s="18"/>
      <c r="AC320" s="16"/>
      <c r="AD320" s="17"/>
      <c r="AE320" s="17"/>
      <c r="AF320" s="17"/>
      <c r="AG320" s="17"/>
      <c r="AH320" s="17"/>
      <c r="AI320" s="16"/>
      <c r="AJ320" s="17"/>
      <c r="AK320" s="17"/>
      <c r="AL320" s="17"/>
      <c r="AM320" s="17"/>
      <c r="AN320" s="18"/>
      <c r="AO320" s="16"/>
      <c r="AP320" s="17" t="s">
        <v>1017</v>
      </c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8"/>
      <c r="BF320" s="8"/>
    </row>
    <row r="321" spans="1:58" ht="15.75" customHeight="1">
      <c r="A321" s="8"/>
      <c r="B321" s="16"/>
      <c r="C321" s="17"/>
      <c r="D321" s="18"/>
      <c r="E321" s="16"/>
      <c r="F321" s="17"/>
      <c r="G321" s="17"/>
      <c r="H321" s="17"/>
      <c r="I321" s="17"/>
      <c r="J321" s="18"/>
      <c r="K321" s="16"/>
      <c r="L321" s="17"/>
      <c r="M321" s="17"/>
      <c r="N321" s="17"/>
      <c r="O321" s="17"/>
      <c r="P321" s="18"/>
      <c r="Q321" s="16"/>
      <c r="R321" s="17"/>
      <c r="S321" s="17"/>
      <c r="T321" s="17"/>
      <c r="U321" s="17"/>
      <c r="V321" s="18"/>
      <c r="W321" s="16"/>
      <c r="X321" s="17"/>
      <c r="Y321" s="17"/>
      <c r="Z321" s="17"/>
      <c r="AA321" s="17"/>
      <c r="AB321" s="18"/>
      <c r="AC321" s="16"/>
      <c r="AD321" s="17"/>
      <c r="AE321" s="17"/>
      <c r="AF321" s="17"/>
      <c r="AG321" s="17"/>
      <c r="AH321" s="17"/>
      <c r="AI321" s="16"/>
      <c r="AJ321" s="17"/>
      <c r="AK321" s="17"/>
      <c r="AL321" s="17"/>
      <c r="AM321" s="17"/>
      <c r="AN321" s="18"/>
      <c r="AO321" s="16" t="s">
        <v>1015</v>
      </c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8"/>
      <c r="BF321" s="8"/>
    </row>
    <row r="322" spans="1:58" ht="15.75" customHeight="1">
      <c r="A322" s="8"/>
      <c r="B322" s="47"/>
      <c r="C322" s="48"/>
      <c r="D322" s="49"/>
      <c r="E322" s="47"/>
      <c r="F322" s="48"/>
      <c r="G322" s="48"/>
      <c r="H322" s="48"/>
      <c r="I322" s="48"/>
      <c r="J322" s="49"/>
      <c r="K322" s="47"/>
      <c r="L322" s="48"/>
      <c r="M322" s="48"/>
      <c r="N322" s="48"/>
      <c r="O322" s="48"/>
      <c r="P322" s="49"/>
      <c r="Q322" s="47"/>
      <c r="R322" s="48"/>
      <c r="S322" s="48"/>
      <c r="T322" s="48"/>
      <c r="U322" s="48"/>
      <c r="V322" s="49"/>
      <c r="W322" s="47"/>
      <c r="X322" s="48"/>
      <c r="Y322" s="48"/>
      <c r="Z322" s="48"/>
      <c r="AA322" s="48"/>
      <c r="AB322" s="49"/>
      <c r="AC322" s="47"/>
      <c r="AD322" s="48"/>
      <c r="AE322" s="48"/>
      <c r="AF322" s="48"/>
      <c r="AG322" s="48"/>
      <c r="AH322" s="48"/>
      <c r="AI322" s="47"/>
      <c r="AJ322" s="48"/>
      <c r="AK322" s="48"/>
      <c r="AL322" s="48"/>
      <c r="AM322" s="48"/>
      <c r="AN322" s="49"/>
      <c r="AO322" s="47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9"/>
      <c r="BF322" s="8"/>
    </row>
    <row r="323" spans="1:58" ht="15.75" customHeight="1">
      <c r="A323" s="8"/>
      <c r="B323" s="13" t="s">
        <v>1021</v>
      </c>
      <c r="C323" s="14"/>
      <c r="D323" s="15"/>
      <c r="E323" s="13" t="s">
        <v>1022</v>
      </c>
      <c r="F323" s="14"/>
      <c r="G323" s="14"/>
      <c r="H323" s="14"/>
      <c r="I323" s="14"/>
      <c r="J323" s="15"/>
      <c r="K323" s="13"/>
      <c r="L323" s="14"/>
      <c r="M323" s="14"/>
      <c r="N323" s="14"/>
      <c r="O323" s="14"/>
      <c r="P323" s="15"/>
      <c r="Q323" s="16" t="s">
        <v>540</v>
      </c>
      <c r="R323" s="70"/>
      <c r="S323" s="70"/>
      <c r="T323" s="70"/>
      <c r="U323" s="70"/>
      <c r="V323" s="18"/>
      <c r="W323" s="13"/>
      <c r="X323" s="14"/>
      <c r="Y323" s="14"/>
      <c r="Z323" s="14"/>
      <c r="AA323" s="14"/>
      <c r="AB323" s="15"/>
      <c r="AC323" s="13" t="s">
        <v>917</v>
      </c>
      <c r="AD323" s="14"/>
      <c r="AE323" s="14"/>
      <c r="AF323" s="14"/>
      <c r="AG323" s="14"/>
      <c r="AH323" s="14"/>
      <c r="AI323" s="13" t="s">
        <v>1023</v>
      </c>
      <c r="AJ323" s="14"/>
      <c r="AK323" s="14"/>
      <c r="AL323" s="14"/>
      <c r="AM323" s="14"/>
      <c r="AN323" s="15"/>
      <c r="AO323" s="16" t="s">
        <v>996</v>
      </c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18"/>
      <c r="BF323" s="8"/>
    </row>
    <row r="324" spans="1:58" ht="15.75" customHeight="1">
      <c r="A324" s="8"/>
      <c r="B324" s="16"/>
      <c r="C324" s="17"/>
      <c r="D324" s="18"/>
      <c r="E324" s="16"/>
      <c r="F324" s="17"/>
      <c r="G324" s="17"/>
      <c r="H324" s="17"/>
      <c r="I324" s="17"/>
      <c r="J324" s="18"/>
      <c r="K324" s="16"/>
      <c r="L324" s="17"/>
      <c r="M324" s="17"/>
      <c r="N324" s="17"/>
      <c r="O324" s="17"/>
      <c r="P324" s="18"/>
      <c r="Q324" s="16" t="s">
        <v>531</v>
      </c>
      <c r="R324" s="17"/>
      <c r="S324" s="17"/>
      <c r="T324" s="17"/>
      <c r="U324" s="17"/>
      <c r="V324" s="18"/>
      <c r="W324" s="16"/>
      <c r="X324" s="17"/>
      <c r="Y324" s="17"/>
      <c r="Z324" s="17"/>
      <c r="AA324" s="17"/>
      <c r="AB324" s="18"/>
      <c r="AC324" s="16"/>
      <c r="AD324" s="17"/>
      <c r="AE324" s="17"/>
      <c r="AF324" s="17"/>
      <c r="AG324" s="17"/>
      <c r="AH324" s="17"/>
      <c r="AI324" s="16"/>
      <c r="AJ324" s="17"/>
      <c r="AK324" s="17"/>
      <c r="AL324" s="17"/>
      <c r="AM324" s="17"/>
      <c r="AN324" s="18"/>
      <c r="AO324" s="16"/>
      <c r="AP324" s="17" t="s">
        <v>1024</v>
      </c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8"/>
      <c r="BF324" s="8"/>
    </row>
    <row r="325" spans="1:58" ht="15.75" customHeight="1">
      <c r="A325" s="8"/>
      <c r="B325" s="16"/>
      <c r="C325" s="17"/>
      <c r="D325" s="18"/>
      <c r="E325" s="16"/>
      <c r="F325" s="17"/>
      <c r="G325" s="17"/>
      <c r="H325" s="17"/>
      <c r="I325" s="17"/>
      <c r="J325" s="18"/>
      <c r="K325" s="16"/>
      <c r="L325" s="17"/>
      <c r="M325" s="17"/>
      <c r="N325" s="17"/>
      <c r="O325" s="17"/>
      <c r="P325" s="18"/>
      <c r="Q325" s="16"/>
      <c r="R325" s="17"/>
      <c r="S325" s="17"/>
      <c r="T325" s="17"/>
      <c r="U325" s="17"/>
      <c r="V325" s="18"/>
      <c r="W325" s="16"/>
      <c r="X325" s="17"/>
      <c r="Y325" s="17"/>
      <c r="Z325" s="17"/>
      <c r="AA325" s="17"/>
      <c r="AB325" s="18"/>
      <c r="AC325" s="16"/>
      <c r="AD325" s="17"/>
      <c r="AE325" s="17"/>
      <c r="AF325" s="17"/>
      <c r="AG325" s="17"/>
      <c r="AH325" s="17"/>
      <c r="AI325" s="16"/>
      <c r="AJ325" s="17"/>
      <c r="AK325" s="17"/>
      <c r="AL325" s="17"/>
      <c r="AM325" s="17"/>
      <c r="AN325" s="18"/>
      <c r="AO325" s="16"/>
      <c r="AP325" s="17" t="s">
        <v>1048</v>
      </c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8"/>
      <c r="BF325" s="8"/>
    </row>
    <row r="326" spans="1:58" ht="15.75" customHeight="1">
      <c r="A326" s="8"/>
      <c r="B326" s="16"/>
      <c r="C326" s="17"/>
      <c r="D326" s="18"/>
      <c r="E326" s="16"/>
      <c r="F326" s="17"/>
      <c r="G326" s="17"/>
      <c r="H326" s="17"/>
      <c r="I326" s="17"/>
      <c r="J326" s="18"/>
      <c r="K326" s="16"/>
      <c r="L326" s="17"/>
      <c r="M326" s="17"/>
      <c r="N326" s="17"/>
      <c r="O326" s="17"/>
      <c r="P326" s="18"/>
      <c r="Q326" s="16"/>
      <c r="R326" s="17"/>
      <c r="S326" s="17"/>
      <c r="T326" s="17"/>
      <c r="U326" s="17"/>
      <c r="V326" s="18"/>
      <c r="W326" s="16"/>
      <c r="X326" s="17"/>
      <c r="Y326" s="17"/>
      <c r="Z326" s="17"/>
      <c r="AA326" s="17"/>
      <c r="AB326" s="18"/>
      <c r="AC326" s="16"/>
      <c r="AD326" s="17"/>
      <c r="AE326" s="17"/>
      <c r="AF326" s="17"/>
      <c r="AG326" s="17"/>
      <c r="AH326" s="17"/>
      <c r="AI326" s="16"/>
      <c r="AJ326" s="17"/>
      <c r="AK326" s="17"/>
      <c r="AL326" s="17"/>
      <c r="AM326" s="17"/>
      <c r="AN326" s="18"/>
      <c r="AO326" s="16" t="s">
        <v>1049</v>
      </c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8"/>
      <c r="BF326" s="8"/>
    </row>
    <row r="327" spans="1:58" ht="15.75" customHeight="1">
      <c r="A327" s="8"/>
      <c r="B327" s="16"/>
      <c r="C327" s="17"/>
      <c r="D327" s="18"/>
      <c r="E327" s="16"/>
      <c r="F327" s="17"/>
      <c r="G327" s="17"/>
      <c r="H327" s="17"/>
      <c r="I327" s="17"/>
      <c r="J327" s="18"/>
      <c r="K327" s="16"/>
      <c r="L327" s="17"/>
      <c r="M327" s="17"/>
      <c r="N327" s="17"/>
      <c r="O327" s="17"/>
      <c r="P327" s="18"/>
      <c r="Q327" s="16"/>
      <c r="R327" s="17"/>
      <c r="S327" s="17"/>
      <c r="T327" s="17"/>
      <c r="U327" s="17"/>
      <c r="V327" s="18"/>
      <c r="W327" s="16"/>
      <c r="X327" s="17"/>
      <c r="Y327" s="17"/>
      <c r="Z327" s="17"/>
      <c r="AA327" s="17"/>
      <c r="AB327" s="18"/>
      <c r="AC327" s="16"/>
      <c r="AD327" s="17"/>
      <c r="AE327" s="17"/>
      <c r="AF327" s="17"/>
      <c r="AG327" s="17"/>
      <c r="AH327" s="17"/>
      <c r="AI327" s="16"/>
      <c r="AJ327" s="17"/>
      <c r="AK327" s="17"/>
      <c r="AL327" s="17"/>
      <c r="AM327" s="17"/>
      <c r="AN327" s="18"/>
      <c r="AO327" s="16"/>
      <c r="AP327" s="17" t="s">
        <v>1048</v>
      </c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8"/>
      <c r="BF327" s="8"/>
    </row>
    <row r="328" spans="1:58" ht="15.75" customHeight="1">
      <c r="A328" s="8"/>
      <c r="B328" s="47"/>
      <c r="C328" s="48"/>
      <c r="D328" s="49"/>
      <c r="E328" s="47"/>
      <c r="F328" s="48"/>
      <c r="G328" s="48"/>
      <c r="H328" s="48"/>
      <c r="I328" s="48"/>
      <c r="J328" s="49"/>
      <c r="K328" s="47"/>
      <c r="L328" s="48"/>
      <c r="M328" s="48"/>
      <c r="N328" s="48"/>
      <c r="O328" s="48"/>
      <c r="P328" s="49"/>
      <c r="Q328" s="47"/>
      <c r="R328" s="48"/>
      <c r="S328" s="48"/>
      <c r="T328" s="48"/>
      <c r="U328" s="48"/>
      <c r="V328" s="49"/>
      <c r="W328" s="47"/>
      <c r="X328" s="48"/>
      <c r="Y328" s="48"/>
      <c r="Z328" s="48"/>
      <c r="AA328" s="48"/>
      <c r="AB328" s="49"/>
      <c r="AC328" s="47"/>
      <c r="AD328" s="48"/>
      <c r="AE328" s="48"/>
      <c r="AF328" s="48"/>
      <c r="AG328" s="48"/>
      <c r="AH328" s="48"/>
      <c r="AI328" s="47"/>
      <c r="AJ328" s="48"/>
      <c r="AK328" s="48"/>
      <c r="AL328" s="48"/>
      <c r="AM328" s="48"/>
      <c r="AN328" s="49"/>
      <c r="AO328" s="47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9"/>
      <c r="BF328" s="8"/>
    </row>
    <row r="329" spans="1:58" ht="15.75" customHeight="1">
      <c r="A329" s="8"/>
      <c r="B329" s="13" t="s">
        <v>1053</v>
      </c>
      <c r="C329" s="14"/>
      <c r="D329" s="15"/>
      <c r="E329" s="13" t="s">
        <v>1054</v>
      </c>
      <c r="F329" s="14"/>
      <c r="G329" s="14"/>
      <c r="H329" s="14"/>
      <c r="I329" s="14"/>
      <c r="J329" s="15"/>
      <c r="K329" s="13"/>
      <c r="L329" s="14"/>
      <c r="M329" s="14"/>
      <c r="N329" s="14"/>
      <c r="O329" s="14"/>
      <c r="P329" s="15"/>
      <c r="Q329" s="16" t="s">
        <v>531</v>
      </c>
      <c r="R329" s="70"/>
      <c r="S329" s="70"/>
      <c r="T329" s="70"/>
      <c r="U329" s="70"/>
      <c r="V329" s="18"/>
      <c r="W329" s="13"/>
      <c r="X329" s="14"/>
      <c r="Y329" s="14"/>
      <c r="Z329" s="14"/>
      <c r="AA329" s="14"/>
      <c r="AB329" s="15"/>
      <c r="AC329" s="13" t="s">
        <v>917</v>
      </c>
      <c r="AD329" s="14"/>
      <c r="AE329" s="14"/>
      <c r="AF329" s="14"/>
      <c r="AG329" s="14"/>
      <c r="AH329" s="14"/>
      <c r="AI329" s="13" t="s">
        <v>1055</v>
      </c>
      <c r="AJ329" s="14"/>
      <c r="AK329" s="14"/>
      <c r="AL329" s="14"/>
      <c r="AM329" s="14"/>
      <c r="AN329" s="15"/>
      <c r="AO329" s="16" t="s">
        <v>1049</v>
      </c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18"/>
      <c r="BF329" s="8"/>
    </row>
    <row r="330" spans="1:58" ht="15.75" customHeight="1">
      <c r="A330" s="8"/>
      <c r="B330" s="16"/>
      <c r="C330" s="17"/>
      <c r="D330" s="18"/>
      <c r="E330" s="16"/>
      <c r="F330" s="17"/>
      <c r="G330" s="17"/>
      <c r="H330" s="17"/>
      <c r="I330" s="17"/>
      <c r="J330" s="18"/>
      <c r="K330" s="16"/>
      <c r="L330" s="17"/>
      <c r="M330" s="17"/>
      <c r="N330" s="17"/>
      <c r="O330" s="17"/>
      <c r="P330" s="18"/>
      <c r="Q330" s="16"/>
      <c r="R330" s="17"/>
      <c r="S330" s="17"/>
      <c r="T330" s="17"/>
      <c r="U330" s="17"/>
      <c r="V330" s="18"/>
      <c r="W330" s="16"/>
      <c r="X330" s="17"/>
      <c r="Y330" s="17"/>
      <c r="Z330" s="17"/>
      <c r="AA330" s="17"/>
      <c r="AB330" s="18"/>
      <c r="AC330" s="16"/>
      <c r="AD330" s="17"/>
      <c r="AE330" s="17"/>
      <c r="AF330" s="17"/>
      <c r="AG330" s="17"/>
      <c r="AH330" s="17"/>
      <c r="AI330" s="16"/>
      <c r="AJ330" s="17"/>
      <c r="AK330" s="17"/>
      <c r="AL330" s="17"/>
      <c r="AM330" s="17"/>
      <c r="AN330" s="18"/>
      <c r="AO330" s="16"/>
      <c r="AP330" s="17" t="s">
        <v>1056</v>
      </c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8"/>
      <c r="BF330" s="8"/>
    </row>
    <row r="331" spans="1:58" ht="15.75" customHeight="1">
      <c r="A331" s="8"/>
      <c r="B331" s="16"/>
      <c r="C331" s="17"/>
      <c r="D331" s="18"/>
      <c r="E331" s="16"/>
      <c r="F331" s="17"/>
      <c r="G331" s="17"/>
      <c r="H331" s="17"/>
      <c r="I331" s="17"/>
      <c r="J331" s="18"/>
      <c r="K331" s="16"/>
      <c r="L331" s="17"/>
      <c r="M331" s="17"/>
      <c r="N331" s="17"/>
      <c r="O331" s="17"/>
      <c r="P331" s="18"/>
      <c r="Q331" s="16"/>
      <c r="R331" s="17"/>
      <c r="S331" s="17"/>
      <c r="T331" s="17"/>
      <c r="U331" s="17"/>
      <c r="V331" s="18"/>
      <c r="W331" s="16"/>
      <c r="X331" s="17"/>
      <c r="Y331" s="17"/>
      <c r="Z331" s="17"/>
      <c r="AA331" s="17"/>
      <c r="AB331" s="18"/>
      <c r="AC331" s="16"/>
      <c r="AD331" s="17"/>
      <c r="AE331" s="17"/>
      <c r="AF331" s="17"/>
      <c r="AG331" s="17"/>
      <c r="AH331" s="17"/>
      <c r="AI331" s="16"/>
      <c r="AJ331" s="17"/>
      <c r="AK331" s="17"/>
      <c r="AL331" s="17"/>
      <c r="AM331" s="17"/>
      <c r="AN331" s="18"/>
      <c r="AO331" s="16"/>
      <c r="AP331" s="17" t="s">
        <v>1057</v>
      </c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8"/>
      <c r="BF331" s="8"/>
    </row>
    <row r="332" spans="1:58" ht="15.75" customHeight="1">
      <c r="A332" s="8"/>
      <c r="B332" s="47"/>
      <c r="C332" s="48"/>
      <c r="D332" s="49"/>
      <c r="E332" s="47"/>
      <c r="F332" s="48"/>
      <c r="G332" s="48"/>
      <c r="H332" s="48"/>
      <c r="I332" s="48"/>
      <c r="J332" s="49"/>
      <c r="K332" s="47"/>
      <c r="L332" s="48"/>
      <c r="M332" s="48"/>
      <c r="N332" s="48"/>
      <c r="O332" s="48"/>
      <c r="P332" s="49"/>
      <c r="Q332" s="47"/>
      <c r="R332" s="48"/>
      <c r="S332" s="48"/>
      <c r="T332" s="48"/>
      <c r="U332" s="48"/>
      <c r="V332" s="49"/>
      <c r="W332" s="47"/>
      <c r="X332" s="48"/>
      <c r="Y332" s="48"/>
      <c r="Z332" s="48"/>
      <c r="AA332" s="48"/>
      <c r="AB332" s="49"/>
      <c r="AC332" s="47"/>
      <c r="AD332" s="48"/>
      <c r="AE332" s="48"/>
      <c r="AF332" s="48"/>
      <c r="AG332" s="48"/>
      <c r="AH332" s="48"/>
      <c r="AI332" s="47"/>
      <c r="AJ332" s="48"/>
      <c r="AK332" s="48"/>
      <c r="AL332" s="48"/>
      <c r="AM332" s="48"/>
      <c r="AN332" s="49"/>
      <c r="AO332" s="47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9"/>
      <c r="BF332" s="8"/>
    </row>
    <row r="333" spans="1:58" ht="15.75" customHeight="1">
      <c r="A333" s="8"/>
      <c r="B333" s="13" t="s">
        <v>1079</v>
      </c>
      <c r="C333" s="86"/>
      <c r="D333" s="87"/>
      <c r="E333" s="13" t="s">
        <v>1080</v>
      </c>
      <c r="F333" s="86"/>
      <c r="G333" s="86"/>
      <c r="H333" s="86"/>
      <c r="I333" s="86"/>
      <c r="J333" s="87"/>
      <c r="K333" s="94" t="s">
        <v>1081</v>
      </c>
      <c r="L333" s="86"/>
      <c r="M333" s="86"/>
      <c r="N333" s="86"/>
      <c r="O333" s="86"/>
      <c r="P333" s="87"/>
      <c r="Q333" s="94" t="s">
        <v>1082</v>
      </c>
      <c r="R333" s="86"/>
      <c r="S333" s="86"/>
      <c r="T333" s="86"/>
      <c r="U333" s="86"/>
      <c r="V333" s="87"/>
      <c r="W333" s="94"/>
      <c r="X333" s="86"/>
      <c r="Y333" s="86"/>
      <c r="Z333" s="86"/>
      <c r="AA333" s="86"/>
      <c r="AB333" s="87"/>
      <c r="AC333" s="86" t="s">
        <v>1083</v>
      </c>
      <c r="AD333" s="86"/>
      <c r="AE333" s="86"/>
      <c r="AF333" s="86"/>
      <c r="AG333" s="86"/>
      <c r="AH333" s="87"/>
      <c r="AI333" s="13" t="s">
        <v>1055</v>
      </c>
      <c r="AJ333" s="86"/>
      <c r="AK333" s="86"/>
      <c r="AL333" s="86"/>
      <c r="AM333" s="86"/>
      <c r="AN333" s="87"/>
      <c r="AO333" s="14" t="s">
        <v>1086</v>
      </c>
      <c r="AP333" s="14"/>
      <c r="AQ333" s="14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7"/>
      <c r="BF333" s="8"/>
    </row>
    <row r="334" spans="1:58" ht="15.75" customHeight="1">
      <c r="B334" s="92"/>
      <c r="C334" s="88"/>
      <c r="D334" s="89"/>
      <c r="E334" s="92"/>
      <c r="F334" s="88"/>
      <c r="G334" s="88"/>
      <c r="H334" s="88"/>
      <c r="I334" s="88"/>
      <c r="J334" s="89"/>
      <c r="K334" s="95"/>
      <c r="L334" s="88"/>
      <c r="M334" s="88"/>
      <c r="N334" s="88"/>
      <c r="O334" s="88"/>
      <c r="P334" s="89"/>
      <c r="Q334" s="92"/>
      <c r="R334" s="88"/>
      <c r="S334" s="88"/>
      <c r="T334" s="88"/>
      <c r="U334" s="88"/>
      <c r="V334" s="89"/>
      <c r="W334" s="92"/>
      <c r="X334" s="88"/>
      <c r="Y334" s="88"/>
      <c r="Z334" s="88"/>
      <c r="AA334" s="88"/>
      <c r="AB334" s="89"/>
      <c r="AC334" s="88"/>
      <c r="AD334" s="88"/>
      <c r="AE334" s="88"/>
      <c r="AF334" s="88"/>
      <c r="AG334" s="88"/>
      <c r="AH334" s="89"/>
      <c r="AI334" s="92"/>
      <c r="AJ334" s="88"/>
      <c r="AK334" s="88"/>
      <c r="AL334" s="88"/>
      <c r="AM334" s="88"/>
      <c r="AN334" s="89"/>
      <c r="AO334" s="70"/>
      <c r="AP334" s="70" t="s">
        <v>1084</v>
      </c>
      <c r="AQ334" s="70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9"/>
    </row>
    <row r="335" spans="1:58" ht="15.75" customHeight="1">
      <c r="B335" s="92"/>
      <c r="C335" s="88"/>
      <c r="D335" s="89"/>
      <c r="E335" s="92"/>
      <c r="F335" s="88"/>
      <c r="G335" s="88"/>
      <c r="H335" s="88"/>
      <c r="I335" s="88"/>
      <c r="J335" s="89"/>
      <c r="K335" s="92"/>
      <c r="L335" s="88"/>
      <c r="M335" s="88"/>
      <c r="N335" s="88"/>
      <c r="O335" s="88"/>
      <c r="P335" s="89"/>
      <c r="Q335" s="92"/>
      <c r="R335" s="88"/>
      <c r="S335" s="88"/>
      <c r="T335" s="88"/>
      <c r="U335" s="88"/>
      <c r="V335" s="89"/>
      <c r="W335" s="92"/>
      <c r="X335" s="88"/>
      <c r="Y335" s="88"/>
      <c r="Z335" s="88"/>
      <c r="AA335" s="88"/>
      <c r="AB335" s="89"/>
      <c r="AC335" s="88"/>
      <c r="AD335" s="88"/>
      <c r="AE335" s="88"/>
      <c r="AF335" s="88"/>
      <c r="AG335" s="88"/>
      <c r="AH335" s="89"/>
      <c r="AI335" s="92"/>
      <c r="AJ335" s="88"/>
      <c r="AK335" s="88"/>
      <c r="AL335" s="88"/>
      <c r="AM335" s="88"/>
      <c r="AN335" s="89"/>
      <c r="AO335" s="70" t="s">
        <v>1085</v>
      </c>
      <c r="AP335" s="70"/>
      <c r="AQ335" s="70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9"/>
    </row>
    <row r="336" spans="1:58" ht="15.75" customHeight="1">
      <c r="B336" s="93"/>
      <c r="C336" s="90"/>
      <c r="D336" s="91"/>
      <c r="E336" s="93"/>
      <c r="F336" s="90"/>
      <c r="G336" s="90"/>
      <c r="H336" s="90"/>
      <c r="I336" s="90"/>
      <c r="J336" s="91"/>
      <c r="K336" s="93"/>
      <c r="L336" s="90"/>
      <c r="M336" s="90"/>
      <c r="N336" s="90"/>
      <c r="O336" s="90"/>
      <c r="P336" s="91"/>
      <c r="Q336" s="93"/>
      <c r="R336" s="90"/>
      <c r="S336" s="90"/>
      <c r="T336" s="90"/>
      <c r="U336" s="90"/>
      <c r="V336" s="91"/>
      <c r="W336" s="93"/>
      <c r="X336" s="90"/>
      <c r="Y336" s="90"/>
      <c r="Z336" s="90"/>
      <c r="AA336" s="90"/>
      <c r="AB336" s="91"/>
      <c r="AC336" s="90"/>
      <c r="AD336" s="90"/>
      <c r="AE336" s="90"/>
      <c r="AF336" s="90"/>
      <c r="AG336" s="90"/>
      <c r="AH336" s="91"/>
      <c r="AI336" s="93"/>
      <c r="AJ336" s="90"/>
      <c r="AK336" s="90"/>
      <c r="AL336" s="90"/>
      <c r="AM336" s="90"/>
      <c r="AN336" s="91"/>
      <c r="AO336" s="48"/>
      <c r="AP336" s="48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1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phoneticPr fontId="12"/>
  <pageMargins left="0.70866141732283472" right="0.70866141732283472" top="0.74803149606299213" bottom="0.74803149606299213" header="0" footer="0"/>
  <pageSetup paperSize="9" scale="6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9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81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1089</v>
      </c>
      <c r="AX1" s="6"/>
      <c r="AY1" s="6"/>
      <c r="AZ1" s="6"/>
      <c r="BA1" s="6"/>
      <c r="BB1" s="6"/>
      <c r="BC1" s="6"/>
      <c r="BD1" s="6"/>
      <c r="BE1" s="7"/>
      <c r="BF1" s="1"/>
      <c r="BG1" s="8"/>
    </row>
    <row r="2" spans="1:59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9</v>
      </c>
      <c r="Q2" s="3"/>
      <c r="R2" s="3"/>
      <c r="S2" s="3"/>
      <c r="T2" s="4"/>
      <c r="U2" s="5" t="s">
        <v>114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12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599</v>
      </c>
      <c r="AX2" s="6"/>
      <c r="AY2" s="6"/>
      <c r="AZ2" s="6"/>
      <c r="BA2" s="6"/>
      <c r="BB2" s="6"/>
      <c r="BC2" s="6"/>
      <c r="BD2" s="6"/>
      <c r="BE2" s="7"/>
      <c r="BF2" s="1"/>
      <c r="BG2" s="8"/>
    </row>
    <row r="3" spans="1:59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8"/>
    </row>
    <row r="4" spans="1:59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8"/>
    </row>
    <row r="5" spans="1:59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1"/>
      <c r="N5" s="101"/>
      <c r="O5" s="102"/>
      <c r="P5" s="110" t="s">
        <v>116</v>
      </c>
      <c r="Q5" s="101"/>
      <c r="R5" s="101"/>
      <c r="S5" s="101"/>
      <c r="T5" s="101"/>
      <c r="U5" s="101"/>
      <c r="V5" s="101"/>
      <c r="W5" s="101"/>
      <c r="X5" s="101"/>
      <c r="Y5" s="101"/>
      <c r="Z5" s="102"/>
      <c r="AA5" s="110" t="s">
        <v>9</v>
      </c>
      <c r="AB5" s="101"/>
      <c r="AC5" s="101"/>
      <c r="AD5" s="101"/>
      <c r="AE5" s="101"/>
      <c r="AF5" s="102"/>
      <c r="AG5" s="110" t="s">
        <v>117</v>
      </c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  <c r="BF5" s="1"/>
      <c r="BG5" s="8"/>
    </row>
    <row r="6" spans="1:59" ht="21" customHeight="1">
      <c r="A6" s="1"/>
      <c r="B6" s="100">
        <f t="shared" ref="B6:B46" si="0">ROW() - 5</f>
        <v>1</v>
      </c>
      <c r="C6" s="101"/>
      <c r="D6" s="102"/>
      <c r="E6" s="104" t="s">
        <v>118</v>
      </c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103" t="str">
        <f t="array" aca="1" ref="P6" ca="1">INDIRECT(E6&amp;"!U2")</f>
        <v>customer_section_cd</v>
      </c>
      <c r="Q6" s="101"/>
      <c r="R6" s="101"/>
      <c r="S6" s="101"/>
      <c r="T6" s="101"/>
      <c r="U6" s="101"/>
      <c r="V6" s="101"/>
      <c r="W6" s="101"/>
      <c r="X6" s="101"/>
      <c r="Y6" s="101"/>
      <c r="Z6" s="102"/>
      <c r="AA6" s="100" t="str">
        <f t="shared" ref="AA6:AA44" si="1">IF(ISNUMBER(SEARCH("◆",E6)),"中間",IF(ISNUMBER(SEARCH("マスタ",E6)),"マスタ","トランザクション"))</f>
        <v>中間</v>
      </c>
      <c r="AB6" s="101"/>
      <c r="AC6" s="101"/>
      <c r="AD6" s="101"/>
      <c r="AE6" s="101"/>
      <c r="AF6" s="102"/>
      <c r="AG6" s="100" t="s">
        <v>119</v>
      </c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  <c r="BF6" s="1"/>
      <c r="BG6" s="27"/>
    </row>
    <row r="7" spans="1:59" ht="21" customHeight="1">
      <c r="A7" s="1"/>
      <c r="B7" s="100">
        <f t="shared" si="0"/>
        <v>2</v>
      </c>
      <c r="C7" s="101"/>
      <c r="D7" s="102"/>
      <c r="E7" s="104" t="s">
        <v>120</v>
      </c>
      <c r="F7" s="107"/>
      <c r="G7" s="107"/>
      <c r="H7" s="107"/>
      <c r="I7" s="107"/>
      <c r="J7" s="107"/>
      <c r="K7" s="107"/>
      <c r="L7" s="107"/>
      <c r="M7" s="107"/>
      <c r="N7" s="107"/>
      <c r="O7" s="108"/>
      <c r="P7" s="103" t="str">
        <f t="array" aca="1" ref="P7" ca="1">INDIRECT(E7&amp;"!U2")</f>
        <v>quots</v>
      </c>
      <c r="Q7" s="101"/>
      <c r="R7" s="101"/>
      <c r="S7" s="101"/>
      <c r="T7" s="101"/>
      <c r="U7" s="101"/>
      <c r="V7" s="101"/>
      <c r="W7" s="101"/>
      <c r="X7" s="101"/>
      <c r="Y7" s="101"/>
      <c r="Z7" s="102"/>
      <c r="AA7" s="100" t="str">
        <f t="shared" si="1"/>
        <v>トランザクション</v>
      </c>
      <c r="AB7" s="101"/>
      <c r="AC7" s="101"/>
      <c r="AD7" s="101"/>
      <c r="AE7" s="101"/>
      <c r="AF7" s="102"/>
      <c r="AG7" s="100" t="s">
        <v>121</v>
      </c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  <c r="BF7" s="1"/>
      <c r="BG7" s="27"/>
    </row>
    <row r="8" spans="1:59" ht="21" customHeight="1">
      <c r="A8" s="1"/>
      <c r="B8" s="100">
        <f t="shared" si="0"/>
        <v>3</v>
      </c>
      <c r="C8" s="101"/>
      <c r="D8" s="102"/>
      <c r="E8" s="104" t="s">
        <v>944</v>
      </c>
      <c r="F8" s="107"/>
      <c r="G8" s="107"/>
      <c r="H8" s="107"/>
      <c r="I8" s="107"/>
      <c r="J8" s="107"/>
      <c r="K8" s="107"/>
      <c r="L8" s="107"/>
      <c r="M8" s="107"/>
      <c r="N8" s="107"/>
      <c r="O8" s="108"/>
      <c r="P8" s="103" t="str">
        <f t="array" aca="1" ref="P8" ca="1">INDIRECT(E8&amp;"!U2")</f>
        <v>quot_issue_log</v>
      </c>
      <c r="Q8" s="101"/>
      <c r="R8" s="101"/>
      <c r="S8" s="101"/>
      <c r="T8" s="101"/>
      <c r="U8" s="101"/>
      <c r="V8" s="101"/>
      <c r="W8" s="101"/>
      <c r="X8" s="101"/>
      <c r="Y8" s="101"/>
      <c r="Z8" s="102"/>
      <c r="AA8" s="100" t="str">
        <f t="shared" si="1"/>
        <v>トランザクション</v>
      </c>
      <c r="AB8" s="101"/>
      <c r="AC8" s="101"/>
      <c r="AD8" s="101"/>
      <c r="AE8" s="101"/>
      <c r="AF8" s="102"/>
      <c r="AG8" s="100" t="s">
        <v>933</v>
      </c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  <c r="BF8" s="1"/>
      <c r="BG8" s="27"/>
    </row>
    <row r="9" spans="1:59" ht="21" customHeight="1">
      <c r="A9" s="1"/>
      <c r="B9" s="100">
        <f t="shared" si="0"/>
        <v>4</v>
      </c>
      <c r="C9" s="101"/>
      <c r="D9" s="102"/>
      <c r="E9" s="104" t="s">
        <v>945</v>
      </c>
      <c r="F9" s="107"/>
      <c r="G9" s="107"/>
      <c r="H9" s="107"/>
      <c r="I9" s="107"/>
      <c r="J9" s="107"/>
      <c r="K9" s="107"/>
      <c r="L9" s="107"/>
      <c r="M9" s="107"/>
      <c r="N9" s="107"/>
      <c r="O9" s="108"/>
      <c r="P9" s="103" t="str">
        <f t="array" aca="1" ref="P9" ca="1">INDIRECT(E9&amp;"!U2")</f>
        <v>quot_operations</v>
      </c>
      <c r="Q9" s="101"/>
      <c r="R9" s="101"/>
      <c r="S9" s="101"/>
      <c r="T9" s="101"/>
      <c r="U9" s="101"/>
      <c r="V9" s="101"/>
      <c r="W9" s="101"/>
      <c r="X9" s="101"/>
      <c r="Y9" s="101"/>
      <c r="Z9" s="102"/>
      <c r="AA9" s="100" t="str">
        <f t="shared" ref="AA9" si="2">IF(ISNUMBER(SEARCH("◆",E9)),"中間",IF(ISNUMBER(SEARCH("マスタ",E9)),"マスタ","トランザクション"))</f>
        <v>トランザクション</v>
      </c>
      <c r="AB9" s="101"/>
      <c r="AC9" s="101"/>
      <c r="AD9" s="101"/>
      <c r="AE9" s="101"/>
      <c r="AF9" s="102"/>
      <c r="AG9" s="100" t="s">
        <v>919</v>
      </c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  <c r="BF9" s="1"/>
      <c r="BG9" s="27"/>
    </row>
    <row r="10" spans="1:59" ht="21" customHeight="1">
      <c r="A10" s="1"/>
      <c r="B10" s="100">
        <f t="shared" si="0"/>
        <v>5</v>
      </c>
      <c r="C10" s="101"/>
      <c r="D10" s="102"/>
      <c r="E10" s="104" t="s">
        <v>122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8"/>
      <c r="P10" s="103" t="str">
        <f t="array" aca="1" ref="P10" ca="1">INDIRECT(E10&amp;"!U2")</f>
        <v>orders</v>
      </c>
      <c r="Q10" s="101"/>
      <c r="R10" s="101"/>
      <c r="S10" s="101"/>
      <c r="T10" s="101"/>
      <c r="U10" s="101"/>
      <c r="V10" s="101"/>
      <c r="W10" s="101"/>
      <c r="X10" s="101"/>
      <c r="Y10" s="101"/>
      <c r="Z10" s="102"/>
      <c r="AA10" s="100" t="str">
        <f t="shared" si="1"/>
        <v>トランザクション</v>
      </c>
      <c r="AB10" s="101"/>
      <c r="AC10" s="101"/>
      <c r="AD10" s="101"/>
      <c r="AE10" s="101"/>
      <c r="AF10" s="102"/>
      <c r="AG10" s="100" t="s">
        <v>123</v>
      </c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  <c r="BF10" s="1"/>
      <c r="BG10" s="27"/>
    </row>
    <row r="11" spans="1:59" ht="21" customHeight="1">
      <c r="A11" s="1"/>
      <c r="B11" s="100">
        <f t="shared" si="0"/>
        <v>6</v>
      </c>
      <c r="C11" s="101"/>
      <c r="D11" s="102"/>
      <c r="E11" s="104" t="s">
        <v>124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8"/>
      <c r="P11" s="103" t="str">
        <f t="array" aca="1" ref="P11" ca="1">INDIRECT(E11&amp;"!U2")</f>
        <v>order_operation_amounts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2"/>
      <c r="AA11" s="100" t="str">
        <f t="shared" si="1"/>
        <v>トランザクション</v>
      </c>
      <c r="AB11" s="101"/>
      <c r="AC11" s="101"/>
      <c r="AD11" s="101"/>
      <c r="AE11" s="101"/>
      <c r="AF11" s="102"/>
      <c r="AG11" s="100" t="s">
        <v>958</v>
      </c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  <c r="BF11" s="1"/>
      <c r="BG11" s="27"/>
    </row>
    <row r="12" spans="1:59" ht="21" customHeight="1">
      <c r="A12" s="1"/>
      <c r="B12" s="100">
        <f t="shared" si="0"/>
        <v>7</v>
      </c>
      <c r="C12" s="101"/>
      <c r="D12" s="102"/>
      <c r="E12" s="104" t="s">
        <v>125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8"/>
      <c r="P12" s="103" t="str">
        <f t="array" aca="1" ref="P12" ca="1">INDIRECT(E12&amp;"!U2")</f>
        <v>work_number_relations</v>
      </c>
      <c r="Q12" s="101"/>
      <c r="R12" s="101"/>
      <c r="S12" s="101"/>
      <c r="T12" s="101"/>
      <c r="U12" s="101"/>
      <c r="V12" s="101"/>
      <c r="W12" s="101"/>
      <c r="X12" s="101"/>
      <c r="Y12" s="101"/>
      <c r="Z12" s="102"/>
      <c r="AA12" s="100" t="str">
        <f t="shared" si="1"/>
        <v>中間</v>
      </c>
      <c r="AB12" s="101"/>
      <c r="AC12" s="101"/>
      <c r="AD12" s="101"/>
      <c r="AE12" s="101"/>
      <c r="AF12" s="102"/>
      <c r="AG12" s="100" t="s">
        <v>126</v>
      </c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  <c r="BF12" s="1"/>
      <c r="BG12" s="8"/>
    </row>
    <row r="13" spans="1:59" ht="21" customHeight="1">
      <c r="A13" s="1"/>
      <c r="B13" s="100">
        <f t="shared" si="0"/>
        <v>8</v>
      </c>
      <c r="C13" s="101"/>
      <c r="D13" s="102"/>
      <c r="E13" s="111" t="s">
        <v>127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8"/>
      <c r="P13" s="103" t="str">
        <f t="array" aca="1" ref="P13" ca="1">INDIRECT(E13&amp;"!U2")</f>
        <v>section_order_plans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2"/>
      <c r="AA13" s="100" t="str">
        <f t="shared" si="1"/>
        <v>トランザクション</v>
      </c>
      <c r="AB13" s="101"/>
      <c r="AC13" s="101"/>
      <c r="AD13" s="101"/>
      <c r="AE13" s="101"/>
      <c r="AF13" s="102"/>
      <c r="AG13" s="100" t="s">
        <v>128</v>
      </c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  <c r="BF13" s="1"/>
      <c r="BG13" s="8"/>
    </row>
    <row r="14" spans="1:59" ht="21" customHeight="1">
      <c r="A14" s="1"/>
      <c r="B14" s="100">
        <f t="shared" si="0"/>
        <v>9</v>
      </c>
      <c r="C14" s="101"/>
      <c r="D14" s="102"/>
      <c r="E14" s="111" t="s">
        <v>947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8"/>
      <c r="P14" s="103" t="str">
        <f t="array" aca="1" ref="P14" ca="1">INDIRECT(E14&amp;"!U2")</f>
        <v>section_sale_plans</v>
      </c>
      <c r="Q14" s="101"/>
      <c r="R14" s="101"/>
      <c r="S14" s="101"/>
      <c r="T14" s="101"/>
      <c r="U14" s="101"/>
      <c r="V14" s="101"/>
      <c r="W14" s="101"/>
      <c r="X14" s="101"/>
      <c r="Y14" s="101"/>
      <c r="Z14" s="102"/>
      <c r="AA14" s="100" t="str">
        <f t="shared" ref="AA14" si="3">IF(ISNUMBER(SEARCH("◆",E14)),"中間",IF(ISNUMBER(SEARCH("マスタ",E14)),"マスタ","トランザクション"))</f>
        <v>トランザクション</v>
      </c>
      <c r="AB14" s="101"/>
      <c r="AC14" s="101"/>
      <c r="AD14" s="101"/>
      <c r="AE14" s="101"/>
      <c r="AF14" s="102"/>
      <c r="AG14" s="100" t="s">
        <v>946</v>
      </c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  <c r="BF14" s="1"/>
      <c r="BG14" s="8"/>
    </row>
    <row r="15" spans="1:59" ht="21" customHeight="1">
      <c r="A15" s="1"/>
      <c r="B15" s="100">
        <f t="shared" si="0"/>
        <v>10</v>
      </c>
      <c r="C15" s="101"/>
      <c r="D15" s="102"/>
      <c r="E15" s="111" t="s">
        <v>129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8"/>
      <c r="P15" s="103" t="str">
        <f t="array" aca="1" ref="P15" ca="1">INDIRECT(E15&amp;"!U2")</f>
        <v>order_weekly_details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2"/>
      <c r="AA15" s="100" t="str">
        <f t="shared" si="1"/>
        <v>トランザクション</v>
      </c>
      <c r="AB15" s="101"/>
      <c r="AC15" s="101"/>
      <c r="AD15" s="101"/>
      <c r="AE15" s="101"/>
      <c r="AF15" s="102"/>
      <c r="AG15" s="100" t="s">
        <v>130</v>
      </c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  <c r="BF15" s="1"/>
      <c r="BG15" s="8"/>
    </row>
    <row r="16" spans="1:59" ht="21" customHeight="1">
      <c r="A16" s="1"/>
      <c r="B16" s="100">
        <f t="shared" si="0"/>
        <v>11</v>
      </c>
      <c r="C16" s="101"/>
      <c r="D16" s="102"/>
      <c r="E16" s="111" t="s">
        <v>131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8"/>
      <c r="P16" s="103" t="str">
        <f t="array" aca="1" ref="P16" ca="1">INDIRECT(E16&amp;"!U2")</f>
        <v>order_weekly_totals</v>
      </c>
      <c r="Q16" s="101"/>
      <c r="R16" s="101"/>
      <c r="S16" s="101"/>
      <c r="T16" s="101"/>
      <c r="U16" s="101"/>
      <c r="V16" s="101"/>
      <c r="W16" s="101"/>
      <c r="X16" s="101"/>
      <c r="Y16" s="101"/>
      <c r="Z16" s="102"/>
      <c r="AA16" s="100" t="str">
        <f t="shared" si="1"/>
        <v>トランザクション</v>
      </c>
      <c r="AB16" s="101"/>
      <c r="AC16" s="101"/>
      <c r="AD16" s="101"/>
      <c r="AE16" s="101"/>
      <c r="AF16" s="102"/>
      <c r="AG16" s="100" t="s">
        <v>132</v>
      </c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  <c r="BF16" s="1"/>
      <c r="BG16" s="8"/>
    </row>
    <row r="17" spans="1:59" ht="21" customHeight="1">
      <c r="A17" s="1"/>
      <c r="B17" s="100">
        <f t="shared" si="0"/>
        <v>12</v>
      </c>
      <c r="C17" s="101"/>
      <c r="D17" s="102"/>
      <c r="E17" s="111" t="s">
        <v>133</v>
      </c>
      <c r="F17" s="107"/>
      <c r="G17" s="107"/>
      <c r="H17" s="107"/>
      <c r="I17" s="107"/>
      <c r="J17" s="107"/>
      <c r="K17" s="107"/>
      <c r="L17" s="107"/>
      <c r="M17" s="107"/>
      <c r="N17" s="107"/>
      <c r="O17" s="108"/>
      <c r="P17" s="103" t="str">
        <f t="array" aca="1" ref="P17" ca="1">INDIRECT(E17&amp;"!U2")</f>
        <v>work_arrangements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2"/>
      <c r="AA17" s="100" t="str">
        <f t="shared" si="1"/>
        <v>トランザクション</v>
      </c>
      <c r="AB17" s="101"/>
      <c r="AC17" s="101"/>
      <c r="AD17" s="101"/>
      <c r="AE17" s="101"/>
      <c r="AF17" s="102"/>
      <c r="AG17" s="100" t="s">
        <v>134</v>
      </c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  <c r="BF17" s="1"/>
      <c r="BG17" s="8"/>
    </row>
    <row r="18" spans="1:59" ht="21" customHeight="1">
      <c r="A18" s="1"/>
      <c r="B18" s="100">
        <f t="shared" si="0"/>
        <v>13</v>
      </c>
      <c r="C18" s="101"/>
      <c r="D18" s="102"/>
      <c r="E18" s="111" t="s">
        <v>135</v>
      </c>
      <c r="F18" s="107"/>
      <c r="G18" s="107"/>
      <c r="H18" s="107"/>
      <c r="I18" s="107"/>
      <c r="J18" s="107"/>
      <c r="K18" s="107"/>
      <c r="L18" s="107"/>
      <c r="M18" s="107"/>
      <c r="N18" s="107"/>
      <c r="O18" s="108"/>
      <c r="P18" s="103" t="str">
        <f t="array" aca="1" ref="P18" ca="1">INDIRECT(E18&amp;"!U2")</f>
        <v>internal_orders</v>
      </c>
      <c r="Q18" s="101"/>
      <c r="R18" s="101"/>
      <c r="S18" s="101"/>
      <c r="T18" s="101"/>
      <c r="U18" s="101"/>
      <c r="V18" s="101"/>
      <c r="W18" s="101"/>
      <c r="X18" s="101"/>
      <c r="Y18" s="101"/>
      <c r="Z18" s="102"/>
      <c r="AA18" s="100" t="str">
        <f t="shared" si="1"/>
        <v>トランザクション</v>
      </c>
      <c r="AB18" s="101"/>
      <c r="AC18" s="101"/>
      <c r="AD18" s="101"/>
      <c r="AE18" s="101"/>
      <c r="AF18" s="102"/>
      <c r="AG18" s="100" t="s">
        <v>136</v>
      </c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  <c r="BF18" s="1"/>
      <c r="BG18" s="8"/>
    </row>
    <row r="19" spans="1:59" ht="21" customHeight="1">
      <c r="A19" s="1"/>
      <c r="B19" s="100">
        <f t="shared" si="0"/>
        <v>14</v>
      </c>
      <c r="C19" s="101"/>
      <c r="D19" s="102"/>
      <c r="E19" s="111" t="s">
        <v>137</v>
      </c>
      <c r="F19" s="107"/>
      <c r="G19" s="107"/>
      <c r="H19" s="107"/>
      <c r="I19" s="107"/>
      <c r="J19" s="107"/>
      <c r="K19" s="107"/>
      <c r="L19" s="107"/>
      <c r="M19" s="107"/>
      <c r="N19" s="107"/>
      <c r="O19" s="108"/>
      <c r="P19" s="103" t="str">
        <f t="array" aca="1" ref="P19" ca="1">INDIRECT(E19&amp;"!U2")</f>
        <v>internal_sales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2"/>
      <c r="AA19" s="100" t="str">
        <f t="shared" si="1"/>
        <v>トランザクション</v>
      </c>
      <c r="AB19" s="101"/>
      <c r="AC19" s="101"/>
      <c r="AD19" s="101"/>
      <c r="AE19" s="101"/>
      <c r="AF19" s="102"/>
      <c r="AG19" s="100" t="s">
        <v>138</v>
      </c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  <c r="BF19" s="1"/>
      <c r="BG19" s="8"/>
    </row>
    <row r="20" spans="1:59" ht="21" customHeight="1">
      <c r="A20" s="1"/>
      <c r="B20" s="100">
        <f t="shared" si="0"/>
        <v>15</v>
      </c>
      <c r="C20" s="101"/>
      <c r="D20" s="102"/>
      <c r="E20" s="111" t="s">
        <v>139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8"/>
      <c r="P20" s="103" t="str">
        <f t="array" aca="1" ref="P20" ca="1">INDIRECT(E20&amp;"!U2")</f>
        <v>internal_purchase_log</v>
      </c>
      <c r="Q20" s="101"/>
      <c r="R20" s="101"/>
      <c r="S20" s="101"/>
      <c r="T20" s="101"/>
      <c r="U20" s="101"/>
      <c r="V20" s="101"/>
      <c r="W20" s="101"/>
      <c r="X20" s="101"/>
      <c r="Y20" s="101"/>
      <c r="Z20" s="102"/>
      <c r="AA20" s="100" t="str">
        <f t="shared" si="1"/>
        <v>トランザクション</v>
      </c>
      <c r="AB20" s="101"/>
      <c r="AC20" s="101"/>
      <c r="AD20" s="101"/>
      <c r="AE20" s="101"/>
      <c r="AF20" s="102"/>
      <c r="AG20" s="100" t="s">
        <v>140</v>
      </c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  <c r="BF20" s="1"/>
      <c r="BG20" s="8"/>
    </row>
    <row r="21" spans="1:59" ht="21" customHeight="1">
      <c r="A21" s="1"/>
      <c r="B21" s="100">
        <f t="shared" si="0"/>
        <v>16</v>
      </c>
      <c r="C21" s="101"/>
      <c r="D21" s="102"/>
      <c r="E21" s="111" t="s">
        <v>141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8"/>
      <c r="P21" s="103" t="str">
        <f t="array" aca="1" ref="P21" ca="1">INDIRECT(E21&amp;"!U2")</f>
        <v>operation_costs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2"/>
      <c r="AA21" s="100" t="str">
        <f t="shared" si="1"/>
        <v>トランザクション</v>
      </c>
      <c r="AB21" s="101"/>
      <c r="AC21" s="101"/>
      <c r="AD21" s="101"/>
      <c r="AE21" s="101"/>
      <c r="AF21" s="102"/>
      <c r="AG21" s="100" t="s">
        <v>142</v>
      </c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  <c r="BF21" s="1"/>
      <c r="BG21" s="8"/>
    </row>
    <row r="22" spans="1:59" ht="21" customHeight="1">
      <c r="A22" s="1"/>
      <c r="B22" s="100">
        <f t="shared" si="0"/>
        <v>17</v>
      </c>
      <c r="C22" s="101"/>
      <c r="D22" s="102"/>
      <c r="E22" s="104" t="s">
        <v>143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8"/>
      <c r="P22" s="103" t="str">
        <f t="array" aca="1" ref="P22" ca="1">INDIRECT(E22&amp;"!U2")</f>
        <v>ship_costs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2"/>
      <c r="AA22" s="100" t="str">
        <f t="shared" si="1"/>
        <v>トランザクション</v>
      </c>
      <c r="AB22" s="101"/>
      <c r="AC22" s="101"/>
      <c r="AD22" s="101"/>
      <c r="AE22" s="101"/>
      <c r="AF22" s="102"/>
      <c r="AG22" s="100" t="s">
        <v>144</v>
      </c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  <c r="BF22" s="1"/>
      <c r="BG22" s="8"/>
    </row>
    <row r="23" spans="1:59" ht="21" customHeight="1">
      <c r="A23" s="1"/>
      <c r="B23" s="100">
        <f t="shared" si="0"/>
        <v>18</v>
      </c>
      <c r="C23" s="101"/>
      <c r="D23" s="102"/>
      <c r="E23" s="104" t="s">
        <v>145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8"/>
      <c r="P23" s="103" t="str">
        <f t="array" aca="1" ref="P23" ca="1">INDIRECT(E23&amp;"!U2")</f>
        <v>sales_operation_amounts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2"/>
      <c r="AA23" s="100" t="str">
        <f t="shared" si="1"/>
        <v>トランザクション</v>
      </c>
      <c r="AB23" s="101"/>
      <c r="AC23" s="101"/>
      <c r="AD23" s="101"/>
      <c r="AE23" s="101"/>
      <c r="AF23" s="102"/>
      <c r="AG23" s="100" t="s">
        <v>146</v>
      </c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  <c r="BF23" s="1"/>
      <c r="BG23" s="8"/>
    </row>
    <row r="24" spans="1:59" ht="21" customHeight="1">
      <c r="A24" s="1"/>
      <c r="B24" s="100">
        <f t="shared" si="0"/>
        <v>19</v>
      </c>
      <c r="C24" s="101"/>
      <c r="D24" s="102"/>
      <c r="E24" s="104" t="s">
        <v>147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8"/>
      <c r="P24" s="103" t="str">
        <f t="array" aca="1" ref="P24" ca="1">INDIRECT(E24&amp;"!U2")</f>
        <v>sales_ship_amounts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2"/>
      <c r="AA24" s="100" t="str">
        <f t="shared" si="1"/>
        <v>トランザクション</v>
      </c>
      <c r="AB24" s="101"/>
      <c r="AC24" s="101"/>
      <c r="AD24" s="101"/>
      <c r="AE24" s="101"/>
      <c r="AF24" s="102"/>
      <c r="AG24" s="100" t="s">
        <v>148</v>
      </c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  <c r="BF24" s="1"/>
      <c r="BG24" s="8"/>
    </row>
    <row r="25" spans="1:59" ht="21" customHeight="1">
      <c r="A25" s="1"/>
      <c r="B25" s="100">
        <f t="shared" si="0"/>
        <v>20</v>
      </c>
      <c r="C25" s="101"/>
      <c r="D25" s="102"/>
      <c r="E25" s="104" t="s">
        <v>149</v>
      </c>
      <c r="F25" s="107"/>
      <c r="G25" s="107"/>
      <c r="H25" s="107"/>
      <c r="I25" s="107"/>
      <c r="J25" s="107"/>
      <c r="K25" s="107"/>
      <c r="L25" s="107"/>
      <c r="M25" s="107"/>
      <c r="N25" s="107"/>
      <c r="O25" s="108"/>
      <c r="P25" s="103" t="str">
        <f t="array" aca="1" ref="P25" ca="1">INDIRECT(E25&amp;"!U2")</f>
        <v>sales_various_amounts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2"/>
      <c r="AA25" s="100" t="str">
        <f t="shared" si="1"/>
        <v>トランザクション</v>
      </c>
      <c r="AB25" s="101"/>
      <c r="AC25" s="101"/>
      <c r="AD25" s="101"/>
      <c r="AE25" s="101"/>
      <c r="AF25" s="102"/>
      <c r="AG25" s="100" t="s">
        <v>150</v>
      </c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  <c r="BF25" s="1"/>
      <c r="BG25" s="8"/>
    </row>
    <row r="26" spans="1:59" ht="21" customHeight="1">
      <c r="A26" s="1"/>
      <c r="B26" s="100">
        <f t="shared" si="0"/>
        <v>21</v>
      </c>
      <c r="C26" s="101"/>
      <c r="D26" s="102"/>
      <c r="E26" s="104" t="s">
        <v>151</v>
      </c>
      <c r="F26" s="107"/>
      <c r="G26" s="107"/>
      <c r="H26" s="107"/>
      <c r="I26" s="107"/>
      <c r="J26" s="107"/>
      <c r="K26" s="107"/>
      <c r="L26" s="107"/>
      <c r="M26" s="107"/>
      <c r="N26" s="107"/>
      <c r="O26" s="108"/>
      <c r="P26" s="103" t="str">
        <f t="array" aca="1" ref="P26" ca="1">INDIRECT(E26&amp;"!U2")</f>
        <v>sales_section_amounts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2"/>
      <c r="AA26" s="100" t="str">
        <f t="shared" si="1"/>
        <v>トランザクション</v>
      </c>
      <c r="AB26" s="101"/>
      <c r="AC26" s="101"/>
      <c r="AD26" s="101"/>
      <c r="AE26" s="101"/>
      <c r="AF26" s="102"/>
      <c r="AG26" s="100" t="s">
        <v>152</v>
      </c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  <c r="BF26" s="1"/>
      <c r="BG26" s="8"/>
    </row>
    <row r="27" spans="1:59" ht="21" customHeight="1">
      <c r="A27" s="1"/>
      <c r="B27" s="100">
        <f t="shared" si="0"/>
        <v>22</v>
      </c>
      <c r="C27" s="101"/>
      <c r="D27" s="102"/>
      <c r="E27" s="104" t="s">
        <v>153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8"/>
      <c r="P27" s="103" t="str">
        <f t="array" aca="1" ref="P27" ca="1">INDIRECT(E27&amp;"!U2")</f>
        <v>sales_person_amounts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2"/>
      <c r="AA27" s="100" t="str">
        <f t="shared" si="1"/>
        <v>トランザクション</v>
      </c>
      <c r="AB27" s="101"/>
      <c r="AC27" s="101"/>
      <c r="AD27" s="101"/>
      <c r="AE27" s="101"/>
      <c r="AF27" s="102"/>
      <c r="AG27" s="100" t="s">
        <v>154</v>
      </c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  <c r="BF27" s="1"/>
      <c r="BG27" s="8"/>
    </row>
    <row r="28" spans="1:59" ht="21" customHeight="1">
      <c r="A28" s="1"/>
      <c r="B28" s="100">
        <f t="shared" si="0"/>
        <v>23</v>
      </c>
      <c r="C28" s="101"/>
      <c r="D28" s="102"/>
      <c r="E28" s="104" t="s">
        <v>155</v>
      </c>
      <c r="F28" s="107"/>
      <c r="G28" s="107"/>
      <c r="H28" s="107"/>
      <c r="I28" s="107"/>
      <c r="J28" s="107"/>
      <c r="K28" s="107"/>
      <c r="L28" s="107"/>
      <c r="M28" s="107"/>
      <c r="N28" s="107"/>
      <c r="O28" s="108"/>
      <c r="P28" s="103" t="str">
        <f t="array" aca="1" ref="P28" ca="1">INDIRECT(E28&amp;"!U2")</f>
        <v>accounts_receivables</v>
      </c>
      <c r="Q28" s="101"/>
      <c r="R28" s="101"/>
      <c r="S28" s="101"/>
      <c r="T28" s="101"/>
      <c r="U28" s="101"/>
      <c r="V28" s="101"/>
      <c r="W28" s="101"/>
      <c r="X28" s="101"/>
      <c r="Y28" s="101"/>
      <c r="Z28" s="102"/>
      <c r="AA28" s="100" t="str">
        <f t="shared" si="1"/>
        <v>トランザクション</v>
      </c>
      <c r="AB28" s="101"/>
      <c r="AC28" s="101"/>
      <c r="AD28" s="101"/>
      <c r="AE28" s="101"/>
      <c r="AF28" s="102"/>
      <c r="AG28" s="100" t="s">
        <v>156</v>
      </c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  <c r="BF28" s="1"/>
      <c r="BG28" s="8"/>
    </row>
    <row r="29" spans="1:59" ht="21" customHeight="1">
      <c r="A29" s="1"/>
      <c r="B29" s="100">
        <f t="shared" si="0"/>
        <v>24</v>
      </c>
      <c r="C29" s="101"/>
      <c r="D29" s="102"/>
      <c r="E29" s="109" t="s">
        <v>157</v>
      </c>
      <c r="F29" s="107"/>
      <c r="G29" s="107"/>
      <c r="H29" s="107"/>
      <c r="I29" s="107"/>
      <c r="J29" s="107"/>
      <c r="K29" s="107"/>
      <c r="L29" s="107"/>
      <c r="M29" s="107"/>
      <c r="N29" s="107"/>
      <c r="O29" s="108"/>
      <c r="P29" s="103" t="str">
        <f t="array" aca="1" ref="P29" ca="1">INDIRECT(E29&amp;"!U2")</f>
        <v>adv_payments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2"/>
      <c r="AA29" s="100" t="str">
        <f t="shared" si="1"/>
        <v>トランザクション</v>
      </c>
      <c r="AB29" s="101"/>
      <c r="AC29" s="101"/>
      <c r="AD29" s="101"/>
      <c r="AE29" s="101"/>
      <c r="AF29" s="102"/>
      <c r="AG29" s="100" t="s">
        <v>158</v>
      </c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  <c r="BF29" s="1"/>
      <c r="BG29" s="8"/>
    </row>
    <row r="30" spans="1:59" ht="21" customHeight="1">
      <c r="A30" s="1"/>
      <c r="B30" s="100">
        <f t="shared" si="0"/>
        <v>25</v>
      </c>
      <c r="C30" s="101"/>
      <c r="D30" s="102"/>
      <c r="E30" s="104" t="s">
        <v>159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8"/>
      <c r="P30" s="103" t="str">
        <f t="array" aca="1" ref="P30" ca="1">INDIRECT(E30&amp;"!U2")</f>
        <v>customer_adv_payments</v>
      </c>
      <c r="Q30" s="101"/>
      <c r="R30" s="101"/>
      <c r="S30" s="101"/>
      <c r="T30" s="101"/>
      <c r="U30" s="101"/>
      <c r="V30" s="101"/>
      <c r="W30" s="101"/>
      <c r="X30" s="101"/>
      <c r="Y30" s="101"/>
      <c r="Z30" s="102"/>
      <c r="AA30" s="100" t="str">
        <f t="shared" si="1"/>
        <v>トランザクション</v>
      </c>
      <c r="AB30" s="101"/>
      <c r="AC30" s="101"/>
      <c r="AD30" s="101"/>
      <c r="AE30" s="101"/>
      <c r="AF30" s="102"/>
      <c r="AG30" s="100" t="s">
        <v>160</v>
      </c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  <c r="BF30" s="1"/>
      <c r="BG30" s="8"/>
    </row>
    <row r="31" spans="1:59" ht="21" customHeight="1">
      <c r="A31" s="1"/>
      <c r="B31" s="100">
        <f t="shared" si="0"/>
        <v>26</v>
      </c>
      <c r="C31" s="101"/>
      <c r="D31" s="102"/>
      <c r="E31" s="109" t="s">
        <v>161</v>
      </c>
      <c r="F31" s="107"/>
      <c r="G31" s="107"/>
      <c r="H31" s="107"/>
      <c r="I31" s="107"/>
      <c r="J31" s="107"/>
      <c r="K31" s="107"/>
      <c r="L31" s="107"/>
      <c r="M31" s="107"/>
      <c r="N31" s="107"/>
      <c r="O31" s="108"/>
      <c r="P31" s="103" t="str">
        <f t="array" aca="1" ref="P31" ca="1">INDIRECT(E31&amp;"!U2")</f>
        <v>customer_adv_payment_log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2"/>
      <c r="AA31" s="100" t="str">
        <f t="shared" si="1"/>
        <v>トランザクション</v>
      </c>
      <c r="AB31" s="101"/>
      <c r="AC31" s="101"/>
      <c r="AD31" s="101"/>
      <c r="AE31" s="101"/>
      <c r="AF31" s="102"/>
      <c r="AG31" s="100" t="s">
        <v>162</v>
      </c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  <c r="BF31" s="1"/>
      <c r="BG31" s="8"/>
    </row>
    <row r="32" spans="1:59" ht="21" customHeight="1">
      <c r="A32" s="1"/>
      <c r="B32" s="100">
        <f t="shared" si="0"/>
        <v>27</v>
      </c>
      <c r="C32" s="101"/>
      <c r="D32" s="102"/>
      <c r="E32" s="104" t="s">
        <v>163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8"/>
      <c r="P32" s="103" t="str">
        <f t="array" aca="1" ref="P32" ca="1">INDIRECT(E32&amp;"!U2")</f>
        <v>deliveries</v>
      </c>
      <c r="Q32" s="101"/>
      <c r="R32" s="101"/>
      <c r="S32" s="101"/>
      <c r="T32" s="101"/>
      <c r="U32" s="101"/>
      <c r="V32" s="101"/>
      <c r="W32" s="101"/>
      <c r="X32" s="101"/>
      <c r="Y32" s="101"/>
      <c r="Z32" s="102"/>
      <c r="AA32" s="100" t="str">
        <f t="shared" si="1"/>
        <v>トランザクション</v>
      </c>
      <c r="AB32" s="101"/>
      <c r="AC32" s="101"/>
      <c r="AD32" s="101"/>
      <c r="AE32" s="101"/>
      <c r="AF32" s="102"/>
      <c r="AG32" s="100" t="s">
        <v>164</v>
      </c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  <c r="BF32" s="1"/>
      <c r="BG32" s="8"/>
    </row>
    <row r="33" spans="1:59" ht="21" customHeight="1">
      <c r="A33" s="1"/>
      <c r="B33" s="100">
        <f t="shared" si="0"/>
        <v>28</v>
      </c>
      <c r="C33" s="101"/>
      <c r="D33" s="102"/>
      <c r="E33" s="109" t="s">
        <v>165</v>
      </c>
      <c r="F33" s="107"/>
      <c r="G33" s="107"/>
      <c r="H33" s="107"/>
      <c r="I33" s="107"/>
      <c r="J33" s="107"/>
      <c r="K33" s="107"/>
      <c r="L33" s="107"/>
      <c r="M33" s="107"/>
      <c r="N33" s="107"/>
      <c r="O33" s="108"/>
      <c r="P33" s="103" t="str">
        <f t="array" aca="1" ref="P33" ca="1">INDIRECT(E33&amp;"!U2")</f>
        <v>delivery_details</v>
      </c>
      <c r="Q33" s="101"/>
      <c r="R33" s="101"/>
      <c r="S33" s="101"/>
      <c r="T33" s="101"/>
      <c r="U33" s="101"/>
      <c r="V33" s="101"/>
      <c r="W33" s="101"/>
      <c r="X33" s="101"/>
      <c r="Y33" s="101"/>
      <c r="Z33" s="102"/>
      <c r="AA33" s="100" t="str">
        <f t="shared" si="1"/>
        <v>トランザクション</v>
      </c>
      <c r="AB33" s="101"/>
      <c r="AC33" s="101"/>
      <c r="AD33" s="101"/>
      <c r="AE33" s="101"/>
      <c r="AF33" s="102"/>
      <c r="AG33" s="100" t="s">
        <v>166</v>
      </c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  <c r="BF33" s="1"/>
      <c r="BG33" s="8"/>
    </row>
    <row r="34" spans="1:59" ht="21" customHeight="1">
      <c r="A34" s="1"/>
      <c r="B34" s="100">
        <f t="shared" si="0"/>
        <v>29</v>
      </c>
      <c r="C34" s="101"/>
      <c r="D34" s="102"/>
      <c r="E34" s="104" t="s">
        <v>167</v>
      </c>
      <c r="F34" s="107"/>
      <c r="G34" s="107"/>
      <c r="H34" s="107"/>
      <c r="I34" s="107"/>
      <c r="J34" s="107"/>
      <c r="K34" s="107"/>
      <c r="L34" s="107"/>
      <c r="M34" s="107"/>
      <c r="N34" s="107"/>
      <c r="O34" s="108"/>
      <c r="P34" s="103" t="str">
        <f t="array" aca="1" ref="P34" ca="1">INDIRECT(E34&amp;"!U2")</f>
        <v>delivery_issue_log</v>
      </c>
      <c r="Q34" s="101"/>
      <c r="R34" s="101"/>
      <c r="S34" s="101"/>
      <c r="T34" s="101"/>
      <c r="U34" s="101"/>
      <c r="V34" s="101"/>
      <c r="W34" s="101"/>
      <c r="X34" s="101"/>
      <c r="Y34" s="101"/>
      <c r="Z34" s="102"/>
      <c r="AA34" s="100" t="str">
        <f t="shared" si="1"/>
        <v>トランザクション</v>
      </c>
      <c r="AB34" s="101"/>
      <c r="AC34" s="101"/>
      <c r="AD34" s="101"/>
      <c r="AE34" s="101"/>
      <c r="AF34" s="102"/>
      <c r="AG34" s="100" t="s">
        <v>168</v>
      </c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  <c r="BF34" s="1"/>
      <c r="BG34" s="8"/>
    </row>
    <row r="35" spans="1:59" ht="21" customHeight="1">
      <c r="A35" s="1"/>
      <c r="B35" s="100">
        <f t="shared" si="0"/>
        <v>30</v>
      </c>
      <c r="C35" s="101"/>
      <c r="D35" s="102"/>
      <c r="E35" s="109" t="s">
        <v>169</v>
      </c>
      <c r="F35" s="107"/>
      <c r="G35" s="107"/>
      <c r="H35" s="107"/>
      <c r="I35" s="107"/>
      <c r="J35" s="107"/>
      <c r="K35" s="107"/>
      <c r="L35" s="107"/>
      <c r="M35" s="107"/>
      <c r="N35" s="107"/>
      <c r="O35" s="108"/>
      <c r="P35" s="103" t="str">
        <f t="array" aca="1" ref="P35" ca="1">INDIRECT(E35&amp;"!U2")</f>
        <v>delivery_export_log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2"/>
      <c r="AA35" s="100" t="str">
        <f t="shared" si="1"/>
        <v>トランザクション</v>
      </c>
      <c r="AB35" s="101"/>
      <c r="AC35" s="101"/>
      <c r="AD35" s="101"/>
      <c r="AE35" s="101"/>
      <c r="AF35" s="102"/>
      <c r="AG35" s="100" t="s">
        <v>170</v>
      </c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2"/>
      <c r="BF35" s="1"/>
      <c r="BG35" s="8"/>
    </row>
    <row r="36" spans="1:59" ht="21" customHeight="1">
      <c r="A36" s="1"/>
      <c r="B36" s="100">
        <f t="shared" si="0"/>
        <v>31</v>
      </c>
      <c r="C36" s="101"/>
      <c r="D36" s="102"/>
      <c r="E36" s="109" t="s">
        <v>171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8"/>
      <c r="P36" s="103" t="str">
        <f t="array" aca="1" ref="P36" ca="1">INDIRECT(E36&amp;"!U2")</f>
        <v>billings</v>
      </c>
      <c r="Q36" s="101"/>
      <c r="R36" s="101"/>
      <c r="S36" s="101"/>
      <c r="T36" s="101"/>
      <c r="U36" s="101"/>
      <c r="V36" s="101"/>
      <c r="W36" s="101"/>
      <c r="X36" s="101"/>
      <c r="Y36" s="101"/>
      <c r="Z36" s="102"/>
      <c r="AA36" s="100" t="str">
        <f t="shared" si="1"/>
        <v>トランザクション</v>
      </c>
      <c r="AB36" s="101"/>
      <c r="AC36" s="101"/>
      <c r="AD36" s="101"/>
      <c r="AE36" s="101"/>
      <c r="AF36" s="102"/>
      <c r="AG36" s="100" t="s">
        <v>172</v>
      </c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2"/>
      <c r="BF36" s="1"/>
      <c r="BG36" s="8"/>
    </row>
    <row r="37" spans="1:59" ht="21" customHeight="1">
      <c r="A37" s="1"/>
      <c r="B37" s="100">
        <f t="shared" si="0"/>
        <v>32</v>
      </c>
      <c r="C37" s="101"/>
      <c r="D37" s="102"/>
      <c r="E37" s="104" t="s">
        <v>173</v>
      </c>
      <c r="F37" s="107"/>
      <c r="G37" s="107"/>
      <c r="H37" s="107"/>
      <c r="I37" s="107"/>
      <c r="J37" s="107"/>
      <c r="K37" s="107"/>
      <c r="L37" s="107"/>
      <c r="M37" s="107"/>
      <c r="N37" s="107"/>
      <c r="O37" s="108"/>
      <c r="P37" s="103" t="str">
        <f t="array" aca="1" ref="P37" ca="1">INDIRECT(E37&amp;"!U2")</f>
        <v>billing_details</v>
      </c>
      <c r="Q37" s="101"/>
      <c r="R37" s="101"/>
      <c r="S37" s="101"/>
      <c r="T37" s="101"/>
      <c r="U37" s="101"/>
      <c r="V37" s="101"/>
      <c r="W37" s="101"/>
      <c r="X37" s="101"/>
      <c r="Y37" s="101"/>
      <c r="Z37" s="102"/>
      <c r="AA37" s="100" t="str">
        <f t="shared" si="1"/>
        <v>トランザクション</v>
      </c>
      <c r="AB37" s="101"/>
      <c r="AC37" s="101"/>
      <c r="AD37" s="101"/>
      <c r="AE37" s="101"/>
      <c r="AF37" s="102"/>
      <c r="AG37" s="100" t="s">
        <v>174</v>
      </c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2"/>
      <c r="BF37" s="1"/>
      <c r="BG37" s="8"/>
    </row>
    <row r="38" spans="1:59" ht="21" customHeight="1">
      <c r="A38" s="1"/>
      <c r="B38" s="100">
        <f t="shared" si="0"/>
        <v>33</v>
      </c>
      <c r="C38" s="101"/>
      <c r="D38" s="102"/>
      <c r="E38" s="109" t="s">
        <v>175</v>
      </c>
      <c r="F38" s="107"/>
      <c r="G38" s="107"/>
      <c r="H38" s="107"/>
      <c r="I38" s="107"/>
      <c r="J38" s="107"/>
      <c r="K38" s="107"/>
      <c r="L38" s="107"/>
      <c r="M38" s="107"/>
      <c r="N38" s="107"/>
      <c r="O38" s="108"/>
      <c r="P38" s="103" t="str">
        <f t="array" aca="1" ref="P38" ca="1">INDIRECT(E38&amp;"!U2")</f>
        <v>billing_issue_log</v>
      </c>
      <c r="Q38" s="101"/>
      <c r="R38" s="101"/>
      <c r="S38" s="101"/>
      <c r="T38" s="101"/>
      <c r="U38" s="101"/>
      <c r="V38" s="101"/>
      <c r="W38" s="101"/>
      <c r="X38" s="101"/>
      <c r="Y38" s="101"/>
      <c r="Z38" s="102"/>
      <c r="AA38" s="100" t="str">
        <f t="shared" si="1"/>
        <v>トランザクション</v>
      </c>
      <c r="AB38" s="101"/>
      <c r="AC38" s="101"/>
      <c r="AD38" s="101"/>
      <c r="AE38" s="101"/>
      <c r="AF38" s="102"/>
      <c r="AG38" s="100" t="s">
        <v>176</v>
      </c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2"/>
      <c r="BF38" s="1"/>
      <c r="BG38" s="8"/>
    </row>
    <row r="39" spans="1:59" ht="21" customHeight="1">
      <c r="A39" s="1"/>
      <c r="B39" s="100">
        <f t="shared" si="0"/>
        <v>34</v>
      </c>
      <c r="C39" s="101"/>
      <c r="D39" s="102"/>
      <c r="E39" s="104" t="s">
        <v>177</v>
      </c>
      <c r="F39" s="107"/>
      <c r="G39" s="107"/>
      <c r="H39" s="107"/>
      <c r="I39" s="107"/>
      <c r="J39" s="107"/>
      <c r="K39" s="107"/>
      <c r="L39" s="107"/>
      <c r="M39" s="107"/>
      <c r="N39" s="107"/>
      <c r="O39" s="108"/>
      <c r="P39" s="103" t="str">
        <f t="array" aca="1" ref="P39" ca="1">INDIRECT(E39&amp;"!U2")</f>
        <v>customer_ship_cost</v>
      </c>
      <c r="Q39" s="101"/>
      <c r="R39" s="101"/>
      <c r="S39" s="101"/>
      <c r="T39" s="101"/>
      <c r="U39" s="101"/>
      <c r="V39" s="101"/>
      <c r="W39" s="101"/>
      <c r="X39" s="101"/>
      <c r="Y39" s="101"/>
      <c r="Z39" s="102"/>
      <c r="AA39" s="100" t="str">
        <f t="shared" si="1"/>
        <v>トランザクション</v>
      </c>
      <c r="AB39" s="101"/>
      <c r="AC39" s="101"/>
      <c r="AD39" s="101"/>
      <c r="AE39" s="101"/>
      <c r="AF39" s="102"/>
      <c r="AG39" s="100" t="s">
        <v>178</v>
      </c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2"/>
      <c r="BF39" s="1"/>
      <c r="BG39" s="8"/>
    </row>
    <row r="40" spans="1:59" ht="21" customHeight="1">
      <c r="A40" s="1"/>
      <c r="B40" s="100">
        <f t="shared" si="0"/>
        <v>35</v>
      </c>
      <c r="C40" s="101"/>
      <c r="D40" s="102"/>
      <c r="E40" s="109" t="s">
        <v>179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8"/>
      <c r="P40" s="103" t="str">
        <f t="array" aca="1" ref="P40" ca="1">INDIRECT(E40&amp;"!U2")</f>
        <v>customer_ship_cost_log</v>
      </c>
      <c r="Q40" s="101"/>
      <c r="R40" s="101"/>
      <c r="S40" s="101"/>
      <c r="T40" s="101"/>
      <c r="U40" s="101"/>
      <c r="V40" s="101"/>
      <c r="W40" s="101"/>
      <c r="X40" s="101"/>
      <c r="Y40" s="101"/>
      <c r="Z40" s="102"/>
      <c r="AA40" s="100" t="str">
        <f t="shared" si="1"/>
        <v>トランザクション</v>
      </c>
      <c r="AB40" s="101"/>
      <c r="AC40" s="101"/>
      <c r="AD40" s="101"/>
      <c r="AE40" s="101"/>
      <c r="AF40" s="102"/>
      <c r="AG40" s="100" t="s">
        <v>180</v>
      </c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2"/>
      <c r="BF40" s="1"/>
      <c r="BG40" s="8"/>
    </row>
    <row r="41" spans="1:59" ht="21" customHeight="1">
      <c r="A41" s="1"/>
      <c r="B41" s="100">
        <f t="shared" si="0"/>
        <v>36</v>
      </c>
      <c r="C41" s="101"/>
      <c r="D41" s="102"/>
      <c r="E41" s="109" t="s">
        <v>181</v>
      </c>
      <c r="F41" s="107"/>
      <c r="G41" s="107"/>
      <c r="H41" s="107"/>
      <c r="I41" s="107"/>
      <c r="J41" s="107"/>
      <c r="K41" s="107"/>
      <c r="L41" s="107"/>
      <c r="M41" s="107"/>
      <c r="N41" s="107"/>
      <c r="O41" s="108"/>
      <c r="P41" s="103" t="str">
        <f t="array" aca="1" ref="P41" ca="1">INDIRECT(E41&amp;"!U2")</f>
        <v>monthly_closing_date</v>
      </c>
      <c r="Q41" s="101"/>
      <c r="R41" s="101"/>
      <c r="S41" s="101"/>
      <c r="T41" s="101"/>
      <c r="U41" s="101"/>
      <c r="V41" s="101"/>
      <c r="W41" s="101"/>
      <c r="X41" s="101"/>
      <c r="Y41" s="101"/>
      <c r="Z41" s="102"/>
      <c r="AA41" s="100" t="str">
        <f t="shared" si="1"/>
        <v>トランザクション</v>
      </c>
      <c r="AB41" s="101"/>
      <c r="AC41" s="101"/>
      <c r="AD41" s="101"/>
      <c r="AE41" s="101"/>
      <c r="AF41" s="102"/>
      <c r="AG41" s="100" t="s">
        <v>182</v>
      </c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2"/>
      <c r="BF41" s="1"/>
      <c r="BG41" s="8"/>
    </row>
    <row r="42" spans="1:59" ht="21" customHeight="1">
      <c r="A42" s="1"/>
      <c r="B42" s="100">
        <f t="shared" si="0"/>
        <v>37</v>
      </c>
      <c r="C42" s="101"/>
      <c r="D42" s="102"/>
      <c r="E42" s="109" t="s">
        <v>183</v>
      </c>
      <c r="F42" s="107"/>
      <c r="G42" s="107"/>
      <c r="H42" s="107"/>
      <c r="I42" s="107"/>
      <c r="J42" s="107"/>
      <c r="K42" s="107"/>
      <c r="L42" s="107"/>
      <c r="M42" s="107"/>
      <c r="N42" s="107"/>
      <c r="O42" s="108"/>
      <c r="P42" s="103" t="str">
        <f t="array" aca="1" ref="P42" ca="1">INDIRECT(E42&amp;"!U2")</f>
        <v>prod_inv_totals</v>
      </c>
      <c r="Q42" s="101"/>
      <c r="R42" s="101"/>
      <c r="S42" s="101"/>
      <c r="T42" s="101"/>
      <c r="U42" s="101"/>
      <c r="V42" s="101"/>
      <c r="W42" s="101"/>
      <c r="X42" s="101"/>
      <c r="Y42" s="101"/>
      <c r="Z42" s="102"/>
      <c r="AA42" s="100" t="str">
        <f t="shared" si="1"/>
        <v>トランザクション</v>
      </c>
      <c r="AB42" s="101"/>
      <c r="AC42" s="101"/>
      <c r="AD42" s="101"/>
      <c r="AE42" s="101"/>
      <c r="AF42" s="102"/>
      <c r="AG42" s="100" t="s">
        <v>184</v>
      </c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2"/>
      <c r="BF42" s="1"/>
      <c r="BG42" s="8"/>
    </row>
    <row r="43" spans="1:59" ht="21" customHeight="1">
      <c r="A43" s="1"/>
      <c r="B43" s="100">
        <f t="shared" si="0"/>
        <v>38</v>
      </c>
      <c r="C43" s="101"/>
      <c r="D43" s="102"/>
      <c r="E43" s="104" t="s">
        <v>185</v>
      </c>
      <c r="F43" s="107"/>
      <c r="G43" s="107"/>
      <c r="H43" s="107"/>
      <c r="I43" s="107"/>
      <c r="J43" s="107"/>
      <c r="K43" s="107"/>
      <c r="L43" s="107"/>
      <c r="M43" s="107"/>
      <c r="N43" s="107"/>
      <c r="O43" s="108"/>
      <c r="P43" s="103" t="str">
        <f t="array" aca="1" ref="P43" ca="1">INDIRECT(E43&amp;"!U2")</f>
        <v>in_progress_inv_costs</v>
      </c>
      <c r="Q43" s="101"/>
      <c r="R43" s="101"/>
      <c r="S43" s="101"/>
      <c r="T43" s="101"/>
      <c r="U43" s="101"/>
      <c r="V43" s="101"/>
      <c r="W43" s="101"/>
      <c r="X43" s="101"/>
      <c r="Y43" s="101"/>
      <c r="Z43" s="102"/>
      <c r="AA43" s="100" t="str">
        <f t="shared" si="1"/>
        <v>トランザクション</v>
      </c>
      <c r="AB43" s="101"/>
      <c r="AC43" s="101"/>
      <c r="AD43" s="101"/>
      <c r="AE43" s="101"/>
      <c r="AF43" s="102"/>
      <c r="AG43" s="100" t="s">
        <v>186</v>
      </c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2"/>
      <c r="BF43" s="1"/>
      <c r="BG43" s="8"/>
    </row>
    <row r="44" spans="1:59" ht="21" customHeight="1">
      <c r="A44" s="1"/>
      <c r="B44" s="100">
        <f t="shared" si="0"/>
        <v>39</v>
      </c>
      <c r="C44" s="101"/>
      <c r="D44" s="102"/>
      <c r="E44" s="109" t="s">
        <v>187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8"/>
      <c r="P44" s="103" t="str">
        <f t="array" aca="1" ref="P44" ca="1">INDIRECT(E44&amp;"!U2")</f>
        <v>plan_imports</v>
      </c>
      <c r="Q44" s="101"/>
      <c r="R44" s="101"/>
      <c r="S44" s="101"/>
      <c r="T44" s="101"/>
      <c r="U44" s="101"/>
      <c r="V44" s="101"/>
      <c r="W44" s="101"/>
      <c r="X44" s="101"/>
      <c r="Y44" s="101"/>
      <c r="Z44" s="102"/>
      <c r="AA44" s="100" t="str">
        <f t="shared" si="1"/>
        <v>トランザクション</v>
      </c>
      <c r="AB44" s="101"/>
      <c r="AC44" s="101"/>
      <c r="AD44" s="101"/>
      <c r="AE44" s="101"/>
      <c r="AF44" s="102"/>
      <c r="AG44" s="100" t="s">
        <v>188</v>
      </c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2"/>
      <c r="BF44" s="1"/>
      <c r="BG44" s="8"/>
    </row>
    <row r="45" spans="1:59" ht="21" customHeight="1">
      <c r="A45" s="1"/>
      <c r="B45" s="100">
        <f t="shared" si="0"/>
        <v>40</v>
      </c>
      <c r="C45" s="101"/>
      <c r="D45" s="102"/>
      <c r="E45" s="104" t="s">
        <v>526</v>
      </c>
      <c r="F45" s="105"/>
      <c r="G45" s="105"/>
      <c r="H45" s="105"/>
      <c r="I45" s="105"/>
      <c r="J45" s="105"/>
      <c r="K45" s="105"/>
      <c r="L45" s="105"/>
      <c r="M45" s="105"/>
      <c r="N45" s="105"/>
      <c r="O45" s="106"/>
      <c r="P45" s="103" t="str">
        <f t="array" aca="1" ref="P45" ca="1">INDIRECT(E45&amp;"!U2")</f>
        <v>customer_warehouse_cost</v>
      </c>
      <c r="Q45" s="101"/>
      <c r="R45" s="101"/>
      <c r="S45" s="101"/>
      <c r="T45" s="101"/>
      <c r="U45" s="101"/>
      <c r="V45" s="101"/>
      <c r="W45" s="101"/>
      <c r="X45" s="101"/>
      <c r="Y45" s="101"/>
      <c r="Z45" s="102"/>
      <c r="AA45" s="100" t="str">
        <f t="shared" ref="AA45" si="4">IF(ISNUMBER(SEARCH("◆",E45)),"中間",IF(ISNUMBER(SEARCH("マスタ",E45)),"マスタ","トランザクション"))</f>
        <v>トランザクション</v>
      </c>
      <c r="AB45" s="101"/>
      <c r="AC45" s="101"/>
      <c r="AD45" s="101"/>
      <c r="AE45" s="101"/>
      <c r="AF45" s="102"/>
      <c r="AG45" s="100" t="s">
        <v>527</v>
      </c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2"/>
      <c r="BF45" s="1"/>
      <c r="BG45" s="8"/>
    </row>
    <row r="46" spans="1:59" ht="21" customHeight="1">
      <c r="A46" s="1"/>
      <c r="B46" s="100">
        <f t="shared" si="0"/>
        <v>41</v>
      </c>
      <c r="C46" s="101"/>
      <c r="D46" s="102"/>
      <c r="E46" s="174" t="s">
        <v>1058</v>
      </c>
      <c r="F46" s="175"/>
      <c r="G46" s="175"/>
      <c r="H46" s="175"/>
      <c r="I46" s="175"/>
      <c r="J46" s="175"/>
      <c r="K46" s="175"/>
      <c r="L46" s="175"/>
      <c r="M46" s="175"/>
      <c r="N46" s="175"/>
      <c r="O46" s="176"/>
      <c r="P46" s="103" t="str">
        <f t="array" aca="1" ref="P46" ca="1">INDIRECT(E46&amp;"!U2")</f>
        <v>monthly_ship_costs</v>
      </c>
      <c r="Q46" s="101"/>
      <c r="R46" s="101"/>
      <c r="S46" s="101"/>
      <c r="T46" s="101"/>
      <c r="U46" s="101"/>
      <c r="V46" s="101"/>
      <c r="W46" s="101"/>
      <c r="X46" s="101"/>
      <c r="Y46" s="101"/>
      <c r="Z46" s="102"/>
      <c r="AA46" s="100" t="str">
        <f t="shared" ref="AA46" si="5">IF(ISNUMBER(SEARCH("◆",E46)),"中間",IF(ISNUMBER(SEARCH("マスタ",E46)),"マスタ","トランザクション"))</f>
        <v>トランザクション</v>
      </c>
      <c r="AB46" s="101"/>
      <c r="AC46" s="101"/>
      <c r="AD46" s="101"/>
      <c r="AE46" s="101"/>
      <c r="AF46" s="102"/>
      <c r="AG46" s="100" t="s">
        <v>1088</v>
      </c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2"/>
      <c r="BF46" s="1"/>
      <c r="BG46" s="8"/>
    </row>
    <row r="47" spans="1:59" ht="21" customHeight="1"/>
    <row r="48" spans="1:59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B36:D36"/>
    <mergeCell ref="E36:O36"/>
    <mergeCell ref="P36:Z36"/>
    <mergeCell ref="AA36:AF36"/>
    <mergeCell ref="AG36:BE36"/>
    <mergeCell ref="B34:D34"/>
    <mergeCell ref="E34:O34"/>
    <mergeCell ref="P34:Z34"/>
    <mergeCell ref="AA34:AF34"/>
    <mergeCell ref="AG34:BE34"/>
    <mergeCell ref="B35:D35"/>
    <mergeCell ref="E35:O35"/>
    <mergeCell ref="AG35:BE35"/>
    <mergeCell ref="P35:Z35"/>
    <mergeCell ref="AA35:AF35"/>
    <mergeCell ref="B32:D32"/>
    <mergeCell ref="E32:O32"/>
    <mergeCell ref="AG32:BE32"/>
    <mergeCell ref="P32:Z32"/>
    <mergeCell ref="AA32:AF32"/>
    <mergeCell ref="B33:D33"/>
    <mergeCell ref="E33:O33"/>
    <mergeCell ref="P33:Z33"/>
    <mergeCell ref="AA33:AF33"/>
    <mergeCell ref="AG33:BE33"/>
    <mergeCell ref="B30:D30"/>
    <mergeCell ref="E30:O30"/>
    <mergeCell ref="P30:Z30"/>
    <mergeCell ref="AA30:AF30"/>
    <mergeCell ref="AG30:BE30"/>
    <mergeCell ref="B31:D31"/>
    <mergeCell ref="E31:O31"/>
    <mergeCell ref="P31:Z31"/>
    <mergeCell ref="AA31:AF31"/>
    <mergeCell ref="AG31:BE31"/>
    <mergeCell ref="B28:D28"/>
    <mergeCell ref="E28:O28"/>
    <mergeCell ref="P28:Z28"/>
    <mergeCell ref="AA28:AF28"/>
    <mergeCell ref="AG28:BE28"/>
    <mergeCell ref="B29:D29"/>
    <mergeCell ref="E29:O29"/>
    <mergeCell ref="AG29:BE29"/>
    <mergeCell ref="P29:Z29"/>
    <mergeCell ref="AA29:AF29"/>
    <mergeCell ref="B26:D26"/>
    <mergeCell ref="E26:O26"/>
    <mergeCell ref="AG26:BE26"/>
    <mergeCell ref="P26:Z26"/>
    <mergeCell ref="AA26:AF26"/>
    <mergeCell ref="B27:D27"/>
    <mergeCell ref="E27:O27"/>
    <mergeCell ref="P27:Z27"/>
    <mergeCell ref="AA27:AF27"/>
    <mergeCell ref="AG27:BE27"/>
    <mergeCell ref="B24:D24"/>
    <mergeCell ref="E24:O24"/>
    <mergeCell ref="P24:Z24"/>
    <mergeCell ref="AA24:AF24"/>
    <mergeCell ref="AG24:BE24"/>
    <mergeCell ref="B25:D25"/>
    <mergeCell ref="E25:O25"/>
    <mergeCell ref="P25:Z25"/>
    <mergeCell ref="AA25:AF25"/>
    <mergeCell ref="AG25:BE25"/>
    <mergeCell ref="B22:D22"/>
    <mergeCell ref="E22:O22"/>
    <mergeCell ref="P22:Z22"/>
    <mergeCell ref="AA22:AF22"/>
    <mergeCell ref="AG22:BE22"/>
    <mergeCell ref="B23:D23"/>
    <mergeCell ref="E23:O23"/>
    <mergeCell ref="AG23:BE23"/>
    <mergeCell ref="P23:Z23"/>
    <mergeCell ref="AA23:AF23"/>
    <mergeCell ref="B20:D20"/>
    <mergeCell ref="E20:O20"/>
    <mergeCell ref="AG20:BE20"/>
    <mergeCell ref="P20:Z20"/>
    <mergeCell ref="AA20:AF20"/>
    <mergeCell ref="B21:D21"/>
    <mergeCell ref="E21:O21"/>
    <mergeCell ref="P21:Z21"/>
    <mergeCell ref="AA21:AF21"/>
    <mergeCell ref="AG21:BE21"/>
    <mergeCell ref="B18:D18"/>
    <mergeCell ref="E18:O18"/>
    <mergeCell ref="P18:Z18"/>
    <mergeCell ref="AA18:AF18"/>
    <mergeCell ref="AG18:BE18"/>
    <mergeCell ref="B19:D19"/>
    <mergeCell ref="E19:O19"/>
    <mergeCell ref="P19:Z19"/>
    <mergeCell ref="AA19:AF19"/>
    <mergeCell ref="AG19:BE19"/>
    <mergeCell ref="B16:D16"/>
    <mergeCell ref="E16:O16"/>
    <mergeCell ref="P16:Z16"/>
    <mergeCell ref="AA16:AF16"/>
    <mergeCell ref="AG16:BE16"/>
    <mergeCell ref="B17:D17"/>
    <mergeCell ref="E17:O17"/>
    <mergeCell ref="AG17:BE17"/>
    <mergeCell ref="P17:Z17"/>
    <mergeCell ref="AA17:AF17"/>
    <mergeCell ref="P43:Z43"/>
    <mergeCell ref="AA43:AF43"/>
    <mergeCell ref="B44:D44"/>
    <mergeCell ref="E44:O44"/>
    <mergeCell ref="P44:Z44"/>
    <mergeCell ref="AA44:AF44"/>
    <mergeCell ref="AG44:BE44"/>
    <mergeCell ref="B42:D42"/>
    <mergeCell ref="E42:O42"/>
    <mergeCell ref="P42:Z42"/>
    <mergeCell ref="AA42:AF42"/>
    <mergeCell ref="AG42:BE42"/>
    <mergeCell ref="B43:D43"/>
    <mergeCell ref="E43:O43"/>
    <mergeCell ref="AG43:BE43"/>
    <mergeCell ref="B13:D13"/>
    <mergeCell ref="E13:O13"/>
    <mergeCell ref="AG13:BE13"/>
    <mergeCell ref="P13:Z13"/>
    <mergeCell ref="AA13:AF13"/>
    <mergeCell ref="B15:D15"/>
    <mergeCell ref="E15:O15"/>
    <mergeCell ref="P15:Z15"/>
    <mergeCell ref="AA15:AF15"/>
    <mergeCell ref="AG15:BE15"/>
    <mergeCell ref="B14:D14"/>
    <mergeCell ref="E14:O14"/>
    <mergeCell ref="P14:Z14"/>
    <mergeCell ref="AA14:AF14"/>
    <mergeCell ref="AG14:BE14"/>
    <mergeCell ref="AG8:BE8"/>
    <mergeCell ref="B9:D9"/>
    <mergeCell ref="E9:O9"/>
    <mergeCell ref="P9:Z9"/>
    <mergeCell ref="AA9:AF9"/>
    <mergeCell ref="AG9:BE9"/>
    <mergeCell ref="B12:D12"/>
    <mergeCell ref="E12:O12"/>
    <mergeCell ref="P12:Z12"/>
    <mergeCell ref="AA12:AF12"/>
    <mergeCell ref="AG12:BE12"/>
    <mergeCell ref="B10:D10"/>
    <mergeCell ref="E10:O10"/>
    <mergeCell ref="AG10:BE10"/>
    <mergeCell ref="P10:Z10"/>
    <mergeCell ref="AA10:AF10"/>
    <mergeCell ref="B11:D11"/>
    <mergeCell ref="E11:O11"/>
    <mergeCell ref="P11:Z11"/>
    <mergeCell ref="AA11:AF11"/>
    <mergeCell ref="AG11:BE11"/>
    <mergeCell ref="B41:D41"/>
    <mergeCell ref="E41:O41"/>
    <mergeCell ref="AG41:BE41"/>
    <mergeCell ref="P41:Z41"/>
    <mergeCell ref="AA41:AF41"/>
    <mergeCell ref="B5:D5"/>
    <mergeCell ref="E5:O5"/>
    <mergeCell ref="P5:Z5"/>
    <mergeCell ref="AA5:AF5"/>
    <mergeCell ref="AG5:BE5"/>
    <mergeCell ref="B6:D6"/>
    <mergeCell ref="E6:O6"/>
    <mergeCell ref="AG6:BE6"/>
    <mergeCell ref="P6:Z6"/>
    <mergeCell ref="AA6:AF6"/>
    <mergeCell ref="B7:D7"/>
    <mergeCell ref="E7:O7"/>
    <mergeCell ref="P7:Z7"/>
    <mergeCell ref="AA7:AF7"/>
    <mergeCell ref="AG7:BE7"/>
    <mergeCell ref="B8:D8"/>
    <mergeCell ref="E8:O8"/>
    <mergeCell ref="P8:Z8"/>
    <mergeCell ref="AA8:AF8"/>
    <mergeCell ref="B39:D39"/>
    <mergeCell ref="E39:O39"/>
    <mergeCell ref="P39:Z39"/>
    <mergeCell ref="AA39:AF39"/>
    <mergeCell ref="AG39:BE39"/>
    <mergeCell ref="B40:D40"/>
    <mergeCell ref="E40:O40"/>
    <mergeCell ref="P40:Z40"/>
    <mergeCell ref="AA40:AF40"/>
    <mergeCell ref="AG40:BE40"/>
    <mergeCell ref="B37:D37"/>
    <mergeCell ref="E37:O37"/>
    <mergeCell ref="P37:Z37"/>
    <mergeCell ref="AA37:AF37"/>
    <mergeCell ref="AG37:BE37"/>
    <mergeCell ref="B38:D38"/>
    <mergeCell ref="E38:O38"/>
    <mergeCell ref="AG38:BE38"/>
    <mergeCell ref="P38:Z38"/>
    <mergeCell ref="AA38:AF38"/>
    <mergeCell ref="B46:D46"/>
    <mergeCell ref="E46:O46"/>
    <mergeCell ref="P46:Z46"/>
    <mergeCell ref="AA46:AF46"/>
    <mergeCell ref="AG46:BE46"/>
    <mergeCell ref="B45:D45"/>
    <mergeCell ref="P45:Z45"/>
    <mergeCell ref="E45:O45"/>
    <mergeCell ref="AA45:AF45"/>
    <mergeCell ref="AG45:BE45"/>
  </mergeCells>
  <phoneticPr fontId="12"/>
  <hyperlinks>
    <hyperlink ref="E6:O6" location="◆部署別得意先!A1" display="◆部署別得意先" xr:uid="{7D533E68-38EB-4350-91B1-634D67D228ED}"/>
    <hyperlink ref="E7:O7" location="見積!A1" display="見積" xr:uid="{003831A8-A3C1-4A7A-8600-873389E1F5C0}"/>
    <hyperlink ref="E8:O8" location="見積書発行履歴!A1" display="見積書発行履歴" xr:uid="{F4BC31CF-F9B6-4708-A545-995800AC6F92}"/>
    <hyperlink ref="E9:O9" location="作業部門別見積!A1" display="作業部門別見積" xr:uid="{B211524E-B0BF-4612-8993-418E24A17395}"/>
    <hyperlink ref="E10:O10" location="受注!A1" display="受注" xr:uid="{7C73F4FD-5E68-4ED1-9F59-D64CCD44EC9A}"/>
    <hyperlink ref="E11:O11" location="作業部門別受注金額!A1" display="作業部門別受注金額" xr:uid="{47A93407-F88C-457C-9E8D-C9D915D81227}"/>
    <hyperlink ref="E12:O12" location="◆工番関連!A1" display="◆工番関連" xr:uid="{59D7982E-BC9B-48D4-9BB9-80953105790E}"/>
    <hyperlink ref="E13:O13" location="部署別受注計画!A1" display="部署別受注計画" xr:uid="{327AA3A0-669C-4D6E-B8EA-6EEF4227DB05}"/>
    <hyperlink ref="E14:O14" location="部署別売上計画!A1" display="部署別売上計画" xr:uid="{F023352E-87CE-4684-BEC3-033C23BF5A5A}"/>
    <hyperlink ref="E15:O15" location="受注週報集計明細!A1" display="受注週報集計明細" xr:uid="{E920CEA4-3D26-4708-B929-043DC4002C93}"/>
    <hyperlink ref="E16:O16" location="受注週報集計累計!A1" display="受注週報集計累計" xr:uid="{F982787F-10A5-44EE-855A-FB1A4B6EA2A1}"/>
    <hyperlink ref="E17:O17" location="作業手配!A1" display="作業手配" xr:uid="{772A2BDA-9C4C-4F39-8AE2-0C99C86E25A0}"/>
    <hyperlink ref="E18:O18" location="社内受注管理!A1" display="社内受注管理" xr:uid="{8B916E1D-003B-4887-A674-3CA690C4BEBF}"/>
    <hyperlink ref="E19:O19" location="社内売上管理!A1" display="社内売上管理" xr:uid="{DBAA3165-B56A-4DC2-8A44-5F7E21B1AC33}"/>
    <hyperlink ref="E20:O20" location="社内仕入履歴!A1" display="社内仕入履歴" xr:uid="{B8027D2C-C196-4E97-BE93-914C2EB4C1D3}"/>
    <hyperlink ref="E21:O21" location="作業部門別基準価格!A1" display="作業部門別基準価格" xr:uid="{659756CD-A997-4ADC-8E74-50D3026FE3E0}"/>
    <hyperlink ref="E22:O22" location="製品発送費基準価格!A1" display="製品発送費基準価格" xr:uid="{21070664-7CD6-4D2A-BAE6-DEBCF0BCD4CA}"/>
    <hyperlink ref="E23:O23" location="作業部門別売上!A1" display="作業部門別売上" xr:uid="{F7A74F18-6FC0-483C-90DF-DB68463E8436}"/>
    <hyperlink ref="E24:O24" location="製品発送費売上!A1" display="製品発送費売上" xr:uid="{BBF8D298-9FDD-4D0C-985A-1FE1AA7B96A3}"/>
    <hyperlink ref="E25:O25" location="諸経費売上!A1" display="諸経費売上" xr:uid="{C387A363-1D2F-4D7B-AC43-18D5F4AF54C7}"/>
    <hyperlink ref="E26:O26" location="営業部署別売上!A1" display="営業部署別売上" xr:uid="{B4017514-7B83-4802-B639-916359AE5A2B}"/>
    <hyperlink ref="E27:O27" location="担当者別売上!A1" display="担当者別売上" xr:uid="{D1E05E5F-777E-46AC-A0C5-432A0AC8F39C}"/>
    <hyperlink ref="E28:O28" location="売掛金!A1" display="売掛金" xr:uid="{7ABFD3CE-A641-490E-8698-5AA09F50442B}"/>
    <hyperlink ref="E29:O29" location="前受金!A1" display="前受金" xr:uid="{C15E5BEA-A26A-4622-A691-5B8BE1DC54EF}"/>
    <hyperlink ref="E30:O30" location="得意先別前受金残高!A1" display="得意先別前受金残高" xr:uid="{10F00DFE-E590-4A39-9A95-3B11A63372C3}"/>
    <hyperlink ref="E31:O31" location="得意先別前受金消込履歴!A1" display="得意先別前受金消込履歴" xr:uid="{417D4418-597C-4088-ACB3-BD022BFBAE3F}"/>
    <hyperlink ref="E32:O32" location="納品!A1" display="納品" xr:uid="{4C338A31-746A-4687-A8C1-D9055FC6A987}"/>
    <hyperlink ref="E33:O33" location="納品明細!A1" display="納品明細" xr:uid="{30A41FB4-A1E1-4E26-AC86-BE3EB86231C6}"/>
    <hyperlink ref="E34:O34" location="納品書発行履歴!A1" display="納品書発行履歴" xr:uid="{4BB08800-97FE-4D38-904E-893AFAB5FF48}"/>
    <hyperlink ref="E35:O35" location="納品書データ出力履歴!A1" display="納品書データ出力履歴" xr:uid="{5B0AE8F5-7034-4060-AE29-3295218FC17B}"/>
    <hyperlink ref="E36:O36" location="請求!A1" display="請求" xr:uid="{C78768DC-DFF4-478A-AA8E-C50707EDBA6E}"/>
    <hyperlink ref="E37:O37" location="請求明細!A1" display="請求明細" xr:uid="{8700BBB0-A310-42B2-A75A-7E6314F189D7}"/>
    <hyperlink ref="E38:O38" location="請求書発行履歴!A1" display="請求書発行履歴" xr:uid="{3A832732-B7FB-4821-AAD6-6A2CC11B2D6F}"/>
    <hyperlink ref="E39:O39" location="得意先別発送費!A1" display="得意先別発送費" xr:uid="{B5FB6C9D-C072-4761-B09F-E5A855231FE9}"/>
    <hyperlink ref="E40:O40" location="得意先別発送費更新履歴!A1" display="得意先別発送費更新履歴" xr:uid="{E3CAA82C-3045-46A0-807C-8E184383DF30}"/>
    <hyperlink ref="E41:O41" location="月次処理日データ!A1" display="月次処理日データ" xr:uid="{C94A7591-B14E-4ACF-85B7-8985F54AF789}"/>
    <hyperlink ref="E42:O42" location="製品在庫金額集計!A1" display="製品在庫金額集計" xr:uid="{221E07C2-0712-45B3-A742-D230BFF2DEE9}"/>
    <hyperlink ref="E43:O43" location="仕掛在庫金額!A1" display="仕掛在庫金額" xr:uid="{4BC9A593-5BB5-428A-A49F-CE8C8E946023}"/>
    <hyperlink ref="E44:O44" location="計画値取込!A1" display="計画値取込" xr:uid="{CEBF078F-7247-48D8-89BD-703E2815A898}"/>
    <hyperlink ref="E45:O45" location="得意先別倉庫料!A1" display="得意先別倉庫料" xr:uid="{D3544FD7-9063-4CF4-B38D-C50795AE8301}"/>
    <hyperlink ref="E46:O46" location="月別発送費!A1" display="月別発送費" xr:uid="{F686C517-36D7-40FB-941F-858625947BD5}"/>
  </hyperlinks>
  <pageMargins left="0.70866141732283472" right="0.70866141732283472" top="0.74803149606299213" bottom="0.74803149606299213" header="0" footer="0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118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189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763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>ROW()-5</f>
        <v>1</v>
      </c>
      <c r="C6" s="101"/>
      <c r="D6" s="102"/>
      <c r="E6" s="113" t="s">
        <v>197</v>
      </c>
      <c r="F6" s="101"/>
      <c r="G6" s="101"/>
      <c r="H6" s="101"/>
      <c r="I6" s="101"/>
      <c r="J6" s="101"/>
      <c r="K6" s="101"/>
      <c r="L6" s="101"/>
      <c r="M6" s="102"/>
      <c r="N6" s="113" t="s">
        <v>764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ref="B7:B9" si="0">ROW()-5</f>
        <v>2</v>
      </c>
      <c r="C7" s="101"/>
      <c r="D7" s="102"/>
      <c r="E7" s="113" t="s">
        <v>200</v>
      </c>
      <c r="F7" s="101"/>
      <c r="G7" s="101"/>
      <c r="H7" s="101"/>
      <c r="I7" s="101"/>
      <c r="J7" s="101"/>
      <c r="K7" s="101"/>
      <c r="L7" s="101"/>
      <c r="M7" s="102"/>
      <c r="N7" s="113" t="s">
        <v>678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 t="s">
        <v>201</v>
      </c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839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202</v>
      </c>
      <c r="F8" s="101"/>
      <c r="G8" s="101"/>
      <c r="H8" s="101"/>
      <c r="I8" s="101"/>
      <c r="J8" s="101"/>
      <c r="K8" s="101"/>
      <c r="L8" s="101"/>
      <c r="M8" s="102"/>
      <c r="N8" s="113" t="s">
        <v>203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 t="s">
        <v>201</v>
      </c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840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22</v>
      </c>
      <c r="F9" s="101"/>
      <c r="G9" s="101"/>
      <c r="H9" s="101"/>
      <c r="I9" s="101"/>
      <c r="J9" s="101"/>
      <c r="K9" s="101"/>
      <c r="L9" s="101"/>
      <c r="M9" s="102"/>
      <c r="N9" s="113" t="s">
        <v>204</v>
      </c>
      <c r="O9" s="101"/>
      <c r="P9" s="101"/>
      <c r="Q9" s="101"/>
      <c r="R9" s="101"/>
      <c r="S9" s="101"/>
      <c r="T9" s="101"/>
      <c r="U9" s="101"/>
      <c r="V9" s="102"/>
      <c r="W9" s="113" t="s">
        <v>578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 t="s">
        <v>205</v>
      </c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21" customHeight="1">
      <c r="A11" s="1"/>
      <c r="B11" s="1" t="s">
        <v>206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98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120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207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1020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672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>ROW()-5</f>
        <v>1</v>
      </c>
      <c r="C6" s="101"/>
      <c r="D6" s="102"/>
      <c r="E6" s="113" t="s">
        <v>209</v>
      </c>
      <c r="F6" s="101"/>
      <c r="G6" s="101"/>
      <c r="H6" s="101"/>
      <c r="I6" s="101"/>
      <c r="J6" s="101"/>
      <c r="K6" s="101"/>
      <c r="L6" s="101"/>
      <c r="M6" s="102"/>
      <c r="N6" s="113" t="s">
        <v>673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ref="B7:B30" si="0">ROW()-5</f>
        <v>2</v>
      </c>
      <c r="C7" s="101"/>
      <c r="D7" s="102"/>
      <c r="E7" s="113" t="s">
        <v>210</v>
      </c>
      <c r="F7" s="101"/>
      <c r="G7" s="101"/>
      <c r="H7" s="101"/>
      <c r="I7" s="101"/>
      <c r="J7" s="101"/>
      <c r="K7" s="101"/>
      <c r="L7" s="101"/>
      <c r="M7" s="102"/>
      <c r="N7" s="103" t="s">
        <v>678</v>
      </c>
      <c r="O7" s="101"/>
      <c r="P7" s="101"/>
      <c r="Q7" s="101"/>
      <c r="R7" s="101"/>
      <c r="S7" s="101"/>
      <c r="T7" s="101"/>
      <c r="U7" s="101"/>
      <c r="V7" s="102"/>
      <c r="W7" s="10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03" t="s">
        <v>841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211</v>
      </c>
      <c r="F8" s="101"/>
      <c r="G8" s="101"/>
      <c r="H8" s="101"/>
      <c r="I8" s="101"/>
      <c r="J8" s="101"/>
      <c r="K8" s="101"/>
      <c r="L8" s="101"/>
      <c r="M8" s="102"/>
      <c r="N8" s="103" t="s">
        <v>212</v>
      </c>
      <c r="O8" s="101"/>
      <c r="P8" s="101"/>
      <c r="Q8" s="101"/>
      <c r="R8" s="101"/>
      <c r="S8" s="101"/>
      <c r="T8" s="101"/>
      <c r="U8" s="101"/>
      <c r="V8" s="102"/>
      <c r="W8" s="10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03" t="s">
        <v>842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8.75">
      <c r="A9" s="1"/>
      <c r="B9" s="114">
        <f t="shared" si="0"/>
        <v>4</v>
      </c>
      <c r="C9" s="101"/>
      <c r="D9" s="102"/>
      <c r="E9" s="113" t="s">
        <v>989</v>
      </c>
      <c r="F9" s="101"/>
      <c r="G9" s="101"/>
      <c r="H9" s="101"/>
      <c r="I9" s="101"/>
      <c r="J9" s="101"/>
      <c r="K9" s="101"/>
      <c r="L9" s="101"/>
      <c r="M9" s="102"/>
      <c r="N9" s="103" t="s">
        <v>990</v>
      </c>
      <c r="O9" s="101"/>
      <c r="P9" s="101"/>
      <c r="Q9" s="101"/>
      <c r="R9" s="101"/>
      <c r="S9" s="101"/>
      <c r="T9" s="101"/>
      <c r="U9" s="101"/>
      <c r="V9" s="102"/>
      <c r="W9" s="103" t="s">
        <v>577</v>
      </c>
      <c r="X9" s="101"/>
      <c r="Y9" s="101"/>
      <c r="Z9" s="101"/>
      <c r="AA9" s="101"/>
      <c r="AB9" s="102"/>
      <c r="AC9" s="103"/>
      <c r="AD9" s="101"/>
      <c r="AE9" s="102"/>
      <c r="AF9" s="112"/>
      <c r="AG9" s="101"/>
      <c r="AH9" s="102"/>
      <c r="AI9" s="112"/>
      <c r="AJ9" s="102"/>
      <c r="AK9" s="112"/>
      <c r="AL9" s="102"/>
      <c r="AM9" s="112" t="s">
        <v>890</v>
      </c>
      <c r="AN9" s="102"/>
      <c r="AO9" s="113"/>
      <c r="AP9" s="101"/>
      <c r="AQ9" s="101"/>
      <c r="AR9" s="101"/>
      <c r="AS9" s="102"/>
      <c r="AT9" s="116" t="s">
        <v>991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94.5" customHeight="1">
      <c r="A10" s="1"/>
      <c r="B10" s="114">
        <f t="shared" si="0"/>
        <v>5</v>
      </c>
      <c r="C10" s="101"/>
      <c r="D10" s="102"/>
      <c r="E10" s="113" t="s">
        <v>213</v>
      </c>
      <c r="F10" s="101"/>
      <c r="G10" s="101"/>
      <c r="H10" s="101"/>
      <c r="I10" s="101"/>
      <c r="J10" s="101"/>
      <c r="K10" s="101"/>
      <c r="L10" s="101"/>
      <c r="M10" s="102"/>
      <c r="N10" s="103" t="s">
        <v>674</v>
      </c>
      <c r="O10" s="101"/>
      <c r="P10" s="101"/>
      <c r="Q10" s="101"/>
      <c r="R10" s="101"/>
      <c r="S10" s="101"/>
      <c r="T10" s="101"/>
      <c r="U10" s="101"/>
      <c r="V10" s="102"/>
      <c r="W10" s="103" t="s">
        <v>1050</v>
      </c>
      <c r="X10" s="101"/>
      <c r="Y10" s="101"/>
      <c r="Z10" s="101"/>
      <c r="AA10" s="101"/>
      <c r="AB10" s="102"/>
      <c r="AC10" s="103" t="s">
        <v>869</v>
      </c>
      <c r="AD10" s="101"/>
      <c r="AE10" s="102"/>
      <c r="AF10" s="112" t="s">
        <v>198</v>
      </c>
      <c r="AG10" s="101"/>
      <c r="AH10" s="102"/>
      <c r="AI10" s="112"/>
      <c r="AJ10" s="102"/>
      <c r="AK10" s="112" t="s">
        <v>198</v>
      </c>
      <c r="AL10" s="102"/>
      <c r="AM10" s="112"/>
      <c r="AN10" s="102"/>
      <c r="AO10" s="113"/>
      <c r="AP10" s="101"/>
      <c r="AQ10" s="101"/>
      <c r="AR10" s="101"/>
      <c r="AS10" s="102"/>
      <c r="AT10" s="116" t="s">
        <v>1051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214</v>
      </c>
      <c r="F11" s="101"/>
      <c r="G11" s="101"/>
      <c r="H11" s="101"/>
      <c r="I11" s="101"/>
      <c r="J11" s="101"/>
      <c r="K11" s="101"/>
      <c r="L11" s="101"/>
      <c r="M11" s="102"/>
      <c r="N11" s="103" t="s">
        <v>669</v>
      </c>
      <c r="O11" s="101"/>
      <c r="P11" s="101"/>
      <c r="Q11" s="101"/>
      <c r="R11" s="101"/>
      <c r="S11" s="101"/>
      <c r="T11" s="101"/>
      <c r="U11" s="101"/>
      <c r="V11" s="102"/>
      <c r="W11" s="103" t="s">
        <v>580</v>
      </c>
      <c r="X11" s="101"/>
      <c r="Y11" s="101"/>
      <c r="Z11" s="101"/>
      <c r="AA11" s="101"/>
      <c r="AB11" s="102"/>
      <c r="AC11" s="103" t="s">
        <v>215</v>
      </c>
      <c r="AD11" s="101"/>
      <c r="AE11" s="102"/>
      <c r="AF11" s="112"/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216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202</v>
      </c>
      <c r="F12" s="101"/>
      <c r="G12" s="101"/>
      <c r="H12" s="101"/>
      <c r="I12" s="101"/>
      <c r="J12" s="101"/>
      <c r="K12" s="101"/>
      <c r="L12" s="101"/>
      <c r="M12" s="102"/>
      <c r="N12" s="103" t="s">
        <v>203</v>
      </c>
      <c r="O12" s="101"/>
      <c r="P12" s="101"/>
      <c r="Q12" s="101"/>
      <c r="R12" s="101"/>
      <c r="S12" s="101"/>
      <c r="T12" s="101"/>
      <c r="U12" s="101"/>
      <c r="V12" s="102"/>
      <c r="W12" s="103" t="s">
        <v>577</v>
      </c>
      <c r="X12" s="101"/>
      <c r="Y12" s="101"/>
      <c r="Z12" s="101"/>
      <c r="AA12" s="101"/>
      <c r="AB12" s="102"/>
      <c r="AC12" s="10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 t="s">
        <v>198</v>
      </c>
      <c r="AN12" s="102"/>
      <c r="AO12" s="113"/>
      <c r="AP12" s="101"/>
      <c r="AQ12" s="101"/>
      <c r="AR12" s="101"/>
      <c r="AS12" s="102"/>
      <c r="AT12" s="103" t="s">
        <v>843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4" t="s">
        <v>959</v>
      </c>
      <c r="F13" s="101"/>
      <c r="G13" s="101"/>
      <c r="H13" s="101"/>
      <c r="I13" s="101"/>
      <c r="J13" s="101"/>
      <c r="K13" s="101"/>
      <c r="L13" s="101"/>
      <c r="M13" s="102"/>
      <c r="N13" s="103" t="s">
        <v>879</v>
      </c>
      <c r="O13" s="101"/>
      <c r="P13" s="101"/>
      <c r="Q13" s="101"/>
      <c r="R13" s="101"/>
      <c r="S13" s="101"/>
      <c r="T13" s="101"/>
      <c r="U13" s="101"/>
      <c r="V13" s="102"/>
      <c r="W13" s="103" t="s">
        <v>1047</v>
      </c>
      <c r="X13" s="101"/>
      <c r="Y13" s="101"/>
      <c r="Z13" s="101"/>
      <c r="AA13" s="101"/>
      <c r="AB13" s="102"/>
      <c r="AC13" s="103"/>
      <c r="AD13" s="101"/>
      <c r="AE13" s="102"/>
      <c r="AF13" s="112"/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03" t="s">
        <v>880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217</v>
      </c>
      <c r="F14" s="101"/>
      <c r="G14" s="101"/>
      <c r="H14" s="101"/>
      <c r="I14" s="101"/>
      <c r="J14" s="101"/>
      <c r="K14" s="101"/>
      <c r="L14" s="101"/>
      <c r="M14" s="102"/>
      <c r="N14" s="103" t="s">
        <v>675</v>
      </c>
      <c r="O14" s="101"/>
      <c r="P14" s="101"/>
      <c r="Q14" s="101"/>
      <c r="R14" s="101"/>
      <c r="S14" s="101"/>
      <c r="T14" s="101"/>
      <c r="U14" s="101"/>
      <c r="V14" s="102"/>
      <c r="W14" s="103" t="s">
        <v>580</v>
      </c>
      <c r="X14" s="101"/>
      <c r="Y14" s="101"/>
      <c r="Z14" s="101"/>
      <c r="AA14" s="101"/>
      <c r="AB14" s="102"/>
      <c r="AC14" s="103" t="s">
        <v>215</v>
      </c>
      <c r="AD14" s="101"/>
      <c r="AE14" s="102"/>
      <c r="AF14" s="112"/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3" t="s">
        <v>216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14">
        <f t="shared" si="0"/>
        <v>10</v>
      </c>
      <c r="C15" s="101"/>
      <c r="D15" s="102"/>
      <c r="E15" s="114" t="s">
        <v>218</v>
      </c>
      <c r="F15" s="101"/>
      <c r="G15" s="101"/>
      <c r="H15" s="101"/>
      <c r="I15" s="101"/>
      <c r="J15" s="101"/>
      <c r="K15" s="101"/>
      <c r="L15" s="101"/>
      <c r="M15" s="102"/>
      <c r="N15" s="103" t="s">
        <v>676</v>
      </c>
      <c r="O15" s="101"/>
      <c r="P15" s="101"/>
      <c r="Q15" s="101"/>
      <c r="R15" s="101"/>
      <c r="S15" s="101"/>
      <c r="T15" s="101"/>
      <c r="U15" s="101"/>
      <c r="V15" s="102"/>
      <c r="W15" s="103" t="s">
        <v>581</v>
      </c>
      <c r="X15" s="101"/>
      <c r="Y15" s="101"/>
      <c r="Z15" s="101"/>
      <c r="AA15" s="101"/>
      <c r="AB15" s="102"/>
      <c r="AC15" s="103"/>
      <c r="AD15" s="101"/>
      <c r="AE15" s="102"/>
      <c r="AF15" s="112"/>
      <c r="AG15" s="101"/>
      <c r="AH15" s="102"/>
      <c r="AI15" s="112"/>
      <c r="AJ15" s="102"/>
      <c r="AK15" s="112"/>
      <c r="AL15" s="102"/>
      <c r="AM15" s="112"/>
      <c r="AN15" s="102"/>
      <c r="AO15" s="103"/>
      <c r="AP15" s="101"/>
      <c r="AQ15" s="101"/>
      <c r="AR15" s="101"/>
      <c r="AS15" s="102"/>
      <c r="AT15" s="103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4" t="s">
        <v>960</v>
      </c>
      <c r="F16" s="101"/>
      <c r="G16" s="101"/>
      <c r="H16" s="101"/>
      <c r="I16" s="101"/>
      <c r="J16" s="101"/>
      <c r="K16" s="101"/>
      <c r="L16" s="101"/>
      <c r="M16" s="102"/>
      <c r="N16" s="103" t="s">
        <v>961</v>
      </c>
      <c r="O16" s="101"/>
      <c r="P16" s="101"/>
      <c r="Q16" s="101"/>
      <c r="R16" s="101"/>
      <c r="S16" s="101"/>
      <c r="T16" s="101"/>
      <c r="U16" s="101"/>
      <c r="V16" s="102"/>
      <c r="W16" s="103" t="s">
        <v>587</v>
      </c>
      <c r="X16" s="101"/>
      <c r="Y16" s="101"/>
      <c r="Z16" s="101"/>
      <c r="AA16" s="101"/>
      <c r="AB16" s="102"/>
      <c r="AC16" s="103" t="s">
        <v>962</v>
      </c>
      <c r="AD16" s="101"/>
      <c r="AE16" s="102"/>
      <c r="AF16" s="112"/>
      <c r="AG16" s="101"/>
      <c r="AH16" s="102"/>
      <c r="AI16" s="112"/>
      <c r="AJ16" s="102"/>
      <c r="AK16" s="112"/>
      <c r="AL16" s="102"/>
      <c r="AM16" s="112"/>
      <c r="AN16" s="102"/>
      <c r="AO16" s="103"/>
      <c r="AP16" s="101"/>
      <c r="AQ16" s="101"/>
      <c r="AR16" s="101"/>
      <c r="AS16" s="102"/>
      <c r="AT16" s="103" t="s">
        <v>963</v>
      </c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4" t="s">
        <v>219</v>
      </c>
      <c r="F17" s="101"/>
      <c r="G17" s="101"/>
      <c r="H17" s="101"/>
      <c r="I17" s="101"/>
      <c r="J17" s="101"/>
      <c r="K17" s="101"/>
      <c r="L17" s="101"/>
      <c r="M17" s="102"/>
      <c r="N17" s="114" t="s">
        <v>679</v>
      </c>
      <c r="O17" s="101"/>
      <c r="P17" s="101"/>
      <c r="Q17" s="101"/>
      <c r="R17" s="101"/>
      <c r="S17" s="101"/>
      <c r="T17" s="101"/>
      <c r="U17" s="101"/>
      <c r="V17" s="102"/>
      <c r="W17" s="103" t="s">
        <v>577</v>
      </c>
      <c r="X17" s="101"/>
      <c r="Y17" s="101"/>
      <c r="Z17" s="101"/>
      <c r="AA17" s="101"/>
      <c r="AB17" s="102"/>
      <c r="AC17" s="113"/>
      <c r="AD17" s="101"/>
      <c r="AE17" s="102"/>
      <c r="AF17" s="112"/>
      <c r="AG17" s="101"/>
      <c r="AH17" s="102"/>
      <c r="AI17" s="112"/>
      <c r="AJ17" s="102"/>
      <c r="AK17" s="112"/>
      <c r="AL17" s="102"/>
      <c r="AM17" s="112" t="s">
        <v>198</v>
      </c>
      <c r="AN17" s="102"/>
      <c r="AO17" s="113"/>
      <c r="AP17" s="101"/>
      <c r="AQ17" s="101"/>
      <c r="AR17" s="101"/>
      <c r="AS17" s="102"/>
      <c r="AT17" s="103" t="s">
        <v>841</v>
      </c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14">
        <f t="shared" si="0"/>
        <v>13</v>
      </c>
      <c r="C18" s="101"/>
      <c r="D18" s="102"/>
      <c r="E18" s="114" t="s">
        <v>220</v>
      </c>
      <c r="F18" s="101"/>
      <c r="G18" s="101"/>
      <c r="H18" s="101"/>
      <c r="I18" s="101"/>
      <c r="J18" s="101"/>
      <c r="K18" s="101"/>
      <c r="L18" s="101"/>
      <c r="M18" s="102"/>
      <c r="N18" s="114" t="s">
        <v>221</v>
      </c>
      <c r="O18" s="101"/>
      <c r="P18" s="101"/>
      <c r="Q18" s="101"/>
      <c r="R18" s="101"/>
      <c r="S18" s="101"/>
      <c r="T18" s="101"/>
      <c r="U18" s="101"/>
      <c r="V18" s="102"/>
      <c r="W18" s="103" t="s">
        <v>577</v>
      </c>
      <c r="X18" s="101"/>
      <c r="Y18" s="101"/>
      <c r="Z18" s="101"/>
      <c r="AA18" s="101"/>
      <c r="AB18" s="102"/>
      <c r="AC18" s="113"/>
      <c r="AD18" s="101"/>
      <c r="AE18" s="102"/>
      <c r="AF18" s="112"/>
      <c r="AG18" s="101"/>
      <c r="AH18" s="102"/>
      <c r="AI18" s="112"/>
      <c r="AJ18" s="102"/>
      <c r="AK18" s="112"/>
      <c r="AL18" s="102"/>
      <c r="AM18" s="112" t="s">
        <v>198</v>
      </c>
      <c r="AN18" s="102"/>
      <c r="AO18" s="113"/>
      <c r="AP18" s="101"/>
      <c r="AQ18" s="101"/>
      <c r="AR18" s="101"/>
      <c r="AS18" s="102"/>
      <c r="AT18" s="103" t="s">
        <v>842</v>
      </c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21" customHeight="1">
      <c r="A19" s="1"/>
      <c r="B19" s="114">
        <f t="shared" si="0"/>
        <v>14</v>
      </c>
      <c r="C19" s="101"/>
      <c r="D19" s="102"/>
      <c r="E19" s="114" t="s">
        <v>222</v>
      </c>
      <c r="F19" s="101"/>
      <c r="G19" s="101"/>
      <c r="H19" s="101"/>
      <c r="I19" s="101"/>
      <c r="J19" s="101"/>
      <c r="K19" s="101"/>
      <c r="L19" s="101"/>
      <c r="M19" s="102"/>
      <c r="N19" s="114" t="s">
        <v>223</v>
      </c>
      <c r="O19" s="101"/>
      <c r="P19" s="101"/>
      <c r="Q19" s="101"/>
      <c r="R19" s="101"/>
      <c r="S19" s="101"/>
      <c r="T19" s="101"/>
      <c r="U19" s="101"/>
      <c r="V19" s="102"/>
      <c r="W19" s="103" t="s">
        <v>578</v>
      </c>
      <c r="X19" s="101"/>
      <c r="Y19" s="101"/>
      <c r="Z19" s="101"/>
      <c r="AA19" s="101"/>
      <c r="AB19" s="102"/>
      <c r="AC19" s="113"/>
      <c r="AD19" s="101"/>
      <c r="AE19" s="102"/>
      <c r="AF19" s="112"/>
      <c r="AG19" s="101"/>
      <c r="AH19" s="102"/>
      <c r="AI19" s="112"/>
      <c r="AJ19" s="102"/>
      <c r="AK19" s="112"/>
      <c r="AL19" s="102"/>
      <c r="AM19" s="112"/>
      <c r="AN19" s="102"/>
      <c r="AO19" s="113"/>
      <c r="AP19" s="101"/>
      <c r="AQ19" s="101"/>
      <c r="AR19" s="101"/>
      <c r="AS19" s="102"/>
      <c r="AT19" s="103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08" customHeight="1">
      <c r="A20" s="1"/>
      <c r="B20" s="114">
        <f t="shared" si="0"/>
        <v>15</v>
      </c>
      <c r="C20" s="101"/>
      <c r="D20" s="102"/>
      <c r="E20" s="113" t="s">
        <v>986</v>
      </c>
      <c r="F20" s="101"/>
      <c r="G20" s="101"/>
      <c r="H20" s="101"/>
      <c r="I20" s="101"/>
      <c r="J20" s="101"/>
      <c r="K20" s="101"/>
      <c r="L20" s="101"/>
      <c r="M20" s="102"/>
      <c r="N20" s="113" t="s">
        <v>769</v>
      </c>
      <c r="O20" s="101"/>
      <c r="P20" s="101"/>
      <c r="Q20" s="101"/>
      <c r="R20" s="101"/>
      <c r="S20" s="101"/>
      <c r="T20" s="101"/>
      <c r="U20" s="101"/>
      <c r="V20" s="102"/>
      <c r="W20" s="113" t="s">
        <v>582</v>
      </c>
      <c r="X20" s="101"/>
      <c r="Y20" s="101"/>
      <c r="Z20" s="101"/>
      <c r="AA20" s="101"/>
      <c r="AB20" s="102"/>
      <c r="AC20" s="113" t="s">
        <v>78</v>
      </c>
      <c r="AD20" s="101"/>
      <c r="AE20" s="102"/>
      <c r="AF20" s="112" t="s">
        <v>198</v>
      </c>
      <c r="AG20" s="101"/>
      <c r="AH20" s="102"/>
      <c r="AI20" s="112"/>
      <c r="AJ20" s="102"/>
      <c r="AK20" s="112"/>
      <c r="AL20" s="102"/>
      <c r="AM20" s="112"/>
      <c r="AN20" s="102"/>
      <c r="AO20" s="113" t="s">
        <v>987</v>
      </c>
      <c r="AP20" s="101"/>
      <c r="AQ20" s="101"/>
      <c r="AR20" s="101"/>
      <c r="AS20" s="102"/>
      <c r="AT20" s="116" t="s">
        <v>988</v>
      </c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00.5" customHeight="1">
      <c r="A21" s="1"/>
      <c r="B21" s="114">
        <f t="shared" si="0"/>
        <v>16</v>
      </c>
      <c r="C21" s="101"/>
      <c r="D21" s="102"/>
      <c r="E21" s="113" t="s">
        <v>982</v>
      </c>
      <c r="F21" s="101"/>
      <c r="G21" s="101"/>
      <c r="H21" s="101"/>
      <c r="I21" s="101"/>
      <c r="J21" s="101"/>
      <c r="K21" s="101"/>
      <c r="L21" s="101"/>
      <c r="M21" s="102"/>
      <c r="N21" s="113" t="s">
        <v>983</v>
      </c>
      <c r="O21" s="101"/>
      <c r="P21" s="101"/>
      <c r="Q21" s="101"/>
      <c r="R21" s="101"/>
      <c r="S21" s="101"/>
      <c r="T21" s="101"/>
      <c r="U21" s="101"/>
      <c r="V21" s="102"/>
      <c r="W21" s="113" t="s">
        <v>582</v>
      </c>
      <c r="X21" s="101"/>
      <c r="Y21" s="101"/>
      <c r="Z21" s="101"/>
      <c r="AA21" s="101"/>
      <c r="AB21" s="102"/>
      <c r="AC21" s="113" t="s">
        <v>78</v>
      </c>
      <c r="AD21" s="101"/>
      <c r="AE21" s="102"/>
      <c r="AF21" s="112" t="s">
        <v>198</v>
      </c>
      <c r="AG21" s="101"/>
      <c r="AH21" s="102"/>
      <c r="AI21" s="112"/>
      <c r="AJ21" s="102"/>
      <c r="AK21" s="112"/>
      <c r="AL21" s="102"/>
      <c r="AM21" s="112"/>
      <c r="AN21" s="102"/>
      <c r="AO21" s="113" t="s">
        <v>984</v>
      </c>
      <c r="AP21" s="101"/>
      <c r="AQ21" s="101"/>
      <c r="AR21" s="101"/>
      <c r="AS21" s="102"/>
      <c r="AT21" s="116" t="s">
        <v>985</v>
      </c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21" customHeight="1">
      <c r="A22" s="1"/>
      <c r="B22" s="114">
        <f t="shared" si="0"/>
        <v>17</v>
      </c>
      <c r="C22" s="101"/>
      <c r="D22" s="102"/>
      <c r="E22" s="113" t="s">
        <v>227</v>
      </c>
      <c r="F22" s="101"/>
      <c r="G22" s="101"/>
      <c r="H22" s="101"/>
      <c r="I22" s="101"/>
      <c r="J22" s="101"/>
      <c r="K22" s="101"/>
      <c r="L22" s="101"/>
      <c r="M22" s="102"/>
      <c r="N22" s="103" t="s">
        <v>689</v>
      </c>
      <c r="O22" s="101"/>
      <c r="P22" s="101"/>
      <c r="Q22" s="101"/>
      <c r="R22" s="101"/>
      <c r="S22" s="101"/>
      <c r="T22" s="101"/>
      <c r="U22" s="101"/>
      <c r="V22" s="102"/>
      <c r="W22" s="103" t="s">
        <v>583</v>
      </c>
      <c r="X22" s="101"/>
      <c r="Y22" s="101"/>
      <c r="Z22" s="101"/>
      <c r="AA22" s="101"/>
      <c r="AB22" s="102"/>
      <c r="AC22" s="103" t="s">
        <v>228</v>
      </c>
      <c r="AD22" s="101"/>
      <c r="AE22" s="102"/>
      <c r="AF22" s="112"/>
      <c r="AG22" s="101"/>
      <c r="AH22" s="102"/>
      <c r="AI22" s="112"/>
      <c r="AJ22" s="102"/>
      <c r="AK22" s="112"/>
      <c r="AL22" s="102"/>
      <c r="AM22" s="112"/>
      <c r="AN22" s="102"/>
      <c r="AO22" s="103"/>
      <c r="AP22" s="101"/>
      <c r="AQ22" s="101"/>
      <c r="AR22" s="101"/>
      <c r="AS22" s="102"/>
      <c r="AT22" s="103" t="s">
        <v>229</v>
      </c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96" customHeight="1">
      <c r="A23" s="1"/>
      <c r="B23" s="114">
        <f t="shared" si="0"/>
        <v>18</v>
      </c>
      <c r="C23" s="101"/>
      <c r="D23" s="102"/>
      <c r="E23" s="114" t="s">
        <v>230</v>
      </c>
      <c r="F23" s="101"/>
      <c r="G23" s="101"/>
      <c r="H23" s="101"/>
      <c r="I23" s="101"/>
      <c r="J23" s="101"/>
      <c r="K23" s="101"/>
      <c r="L23" s="101"/>
      <c r="M23" s="102"/>
      <c r="N23" s="103" t="s">
        <v>231</v>
      </c>
      <c r="O23" s="101"/>
      <c r="P23" s="101"/>
      <c r="Q23" s="101"/>
      <c r="R23" s="101"/>
      <c r="S23" s="101"/>
      <c r="T23" s="101"/>
      <c r="U23" s="101"/>
      <c r="V23" s="102"/>
      <c r="W23" s="103" t="s">
        <v>582</v>
      </c>
      <c r="X23" s="101"/>
      <c r="Y23" s="101"/>
      <c r="Z23" s="101"/>
      <c r="AA23" s="101"/>
      <c r="AB23" s="102"/>
      <c r="AC23" s="103" t="s">
        <v>78</v>
      </c>
      <c r="AD23" s="101"/>
      <c r="AE23" s="102"/>
      <c r="AF23" s="112" t="s">
        <v>198</v>
      </c>
      <c r="AG23" s="101"/>
      <c r="AH23" s="102"/>
      <c r="AI23" s="112"/>
      <c r="AJ23" s="102"/>
      <c r="AK23" s="112"/>
      <c r="AL23" s="102"/>
      <c r="AM23" s="112"/>
      <c r="AN23" s="102"/>
      <c r="AO23" s="103" t="s">
        <v>971</v>
      </c>
      <c r="AP23" s="101"/>
      <c r="AQ23" s="101"/>
      <c r="AR23" s="101"/>
      <c r="AS23" s="102"/>
      <c r="AT23" s="115" t="s">
        <v>970</v>
      </c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21" customHeight="1">
      <c r="A24" s="1"/>
      <c r="B24" s="114">
        <f t="shared" si="0"/>
        <v>19</v>
      </c>
      <c r="C24" s="101"/>
      <c r="D24" s="102"/>
      <c r="E24" s="113" t="s">
        <v>232</v>
      </c>
      <c r="F24" s="101"/>
      <c r="G24" s="101"/>
      <c r="H24" s="101"/>
      <c r="I24" s="101"/>
      <c r="J24" s="101"/>
      <c r="K24" s="101"/>
      <c r="L24" s="101"/>
      <c r="M24" s="102"/>
      <c r="N24" s="103" t="s">
        <v>770</v>
      </c>
      <c r="O24" s="101"/>
      <c r="P24" s="101"/>
      <c r="Q24" s="101"/>
      <c r="R24" s="101"/>
      <c r="S24" s="101"/>
      <c r="T24" s="101"/>
      <c r="U24" s="101"/>
      <c r="V24" s="102"/>
      <c r="W24" s="103" t="s">
        <v>584</v>
      </c>
      <c r="X24" s="101"/>
      <c r="Y24" s="101"/>
      <c r="Z24" s="101"/>
      <c r="AA24" s="101"/>
      <c r="AB24" s="102"/>
      <c r="AC24" s="103"/>
      <c r="AD24" s="101"/>
      <c r="AE24" s="102"/>
      <c r="AF24" s="112"/>
      <c r="AG24" s="101"/>
      <c r="AH24" s="102"/>
      <c r="AI24" s="112"/>
      <c r="AJ24" s="102"/>
      <c r="AK24" s="112"/>
      <c r="AL24" s="102"/>
      <c r="AM24" s="112"/>
      <c r="AN24" s="102"/>
      <c r="AO24" s="103"/>
      <c r="AP24" s="101"/>
      <c r="AQ24" s="101"/>
      <c r="AR24" s="101"/>
      <c r="AS24" s="102"/>
      <c r="AT24" s="115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21" customHeight="1">
      <c r="A25" s="1"/>
      <c r="B25" s="114">
        <f t="shared" si="0"/>
        <v>20</v>
      </c>
      <c r="C25" s="101"/>
      <c r="D25" s="102"/>
      <c r="E25" s="113" t="s">
        <v>1013</v>
      </c>
      <c r="F25" s="101"/>
      <c r="G25" s="101"/>
      <c r="H25" s="101"/>
      <c r="I25" s="101"/>
      <c r="J25" s="101"/>
      <c r="K25" s="101"/>
      <c r="L25" s="101"/>
      <c r="M25" s="102"/>
      <c r="N25" s="103" t="s">
        <v>1014</v>
      </c>
      <c r="O25" s="101"/>
      <c r="P25" s="101"/>
      <c r="Q25" s="101"/>
      <c r="R25" s="101"/>
      <c r="S25" s="101"/>
      <c r="T25" s="101"/>
      <c r="U25" s="101"/>
      <c r="V25" s="102"/>
      <c r="W25" s="103" t="s">
        <v>587</v>
      </c>
      <c r="X25" s="101"/>
      <c r="Y25" s="101"/>
      <c r="Z25" s="101"/>
      <c r="AA25" s="101"/>
      <c r="AB25" s="102"/>
      <c r="AC25" s="103" t="s">
        <v>962</v>
      </c>
      <c r="AD25" s="101"/>
      <c r="AE25" s="102"/>
      <c r="AF25" s="112"/>
      <c r="AG25" s="101"/>
      <c r="AH25" s="102"/>
      <c r="AI25" s="112"/>
      <c r="AJ25" s="102"/>
      <c r="AK25" s="112"/>
      <c r="AL25" s="102"/>
      <c r="AM25" s="112"/>
      <c r="AN25" s="102"/>
      <c r="AO25" s="103"/>
      <c r="AP25" s="101"/>
      <c r="AQ25" s="101"/>
      <c r="AR25" s="101"/>
      <c r="AS25" s="102"/>
      <c r="AT25" s="115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82.5" customHeight="1">
      <c r="A26" s="1"/>
      <c r="B26" s="114">
        <f t="shared" si="0"/>
        <v>21</v>
      </c>
      <c r="C26" s="101"/>
      <c r="D26" s="102"/>
      <c r="E26" s="113" t="s">
        <v>233</v>
      </c>
      <c r="F26" s="101"/>
      <c r="G26" s="101"/>
      <c r="H26" s="101"/>
      <c r="I26" s="101"/>
      <c r="J26" s="101"/>
      <c r="K26" s="101"/>
      <c r="L26" s="101"/>
      <c r="M26" s="102"/>
      <c r="N26" s="103" t="s">
        <v>677</v>
      </c>
      <c r="O26" s="101"/>
      <c r="P26" s="101"/>
      <c r="Q26" s="101"/>
      <c r="R26" s="101"/>
      <c r="S26" s="101"/>
      <c r="T26" s="101"/>
      <c r="U26" s="101"/>
      <c r="V26" s="102"/>
      <c r="W26" s="103" t="s">
        <v>582</v>
      </c>
      <c r="X26" s="101"/>
      <c r="Y26" s="101"/>
      <c r="Z26" s="101"/>
      <c r="AA26" s="101"/>
      <c r="AB26" s="102"/>
      <c r="AC26" s="103" t="s">
        <v>78</v>
      </c>
      <c r="AD26" s="101"/>
      <c r="AE26" s="102"/>
      <c r="AF26" s="112" t="s">
        <v>198</v>
      </c>
      <c r="AG26" s="101"/>
      <c r="AH26" s="102"/>
      <c r="AI26" s="112"/>
      <c r="AJ26" s="102"/>
      <c r="AK26" s="112"/>
      <c r="AL26" s="102"/>
      <c r="AM26" s="112"/>
      <c r="AN26" s="102"/>
      <c r="AO26" s="103" t="s">
        <v>234</v>
      </c>
      <c r="AP26" s="101"/>
      <c r="AQ26" s="101"/>
      <c r="AR26" s="101"/>
      <c r="AS26" s="102"/>
      <c r="AT26" s="115" t="s">
        <v>235</v>
      </c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21" customHeight="1">
      <c r="A27" s="1"/>
      <c r="B27" s="114">
        <f t="shared" si="0"/>
        <v>22</v>
      </c>
      <c r="C27" s="101"/>
      <c r="D27" s="102"/>
      <c r="E27" s="114" t="s">
        <v>236</v>
      </c>
      <c r="F27" s="101"/>
      <c r="G27" s="101"/>
      <c r="H27" s="101"/>
      <c r="I27" s="101"/>
      <c r="J27" s="101"/>
      <c r="K27" s="101"/>
      <c r="L27" s="101"/>
      <c r="M27" s="102"/>
      <c r="N27" s="103" t="s">
        <v>237</v>
      </c>
      <c r="O27" s="101"/>
      <c r="P27" s="101"/>
      <c r="Q27" s="101"/>
      <c r="R27" s="101"/>
      <c r="S27" s="101"/>
      <c r="T27" s="101"/>
      <c r="U27" s="101"/>
      <c r="V27" s="102"/>
      <c r="W27" s="103" t="s">
        <v>581</v>
      </c>
      <c r="X27" s="101"/>
      <c r="Y27" s="101"/>
      <c r="Z27" s="101"/>
      <c r="AA27" s="101"/>
      <c r="AB27" s="102"/>
      <c r="AC27" s="103"/>
      <c r="AD27" s="101"/>
      <c r="AE27" s="102"/>
      <c r="AF27" s="112"/>
      <c r="AG27" s="101"/>
      <c r="AH27" s="102"/>
      <c r="AI27" s="112"/>
      <c r="AJ27" s="102"/>
      <c r="AK27" s="112"/>
      <c r="AL27" s="102"/>
      <c r="AM27" s="112"/>
      <c r="AN27" s="102"/>
      <c r="AO27" s="103"/>
      <c r="AP27" s="101"/>
      <c r="AQ27" s="101"/>
      <c r="AR27" s="101"/>
      <c r="AS27" s="102"/>
      <c r="AT27" s="115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21" customHeight="1">
      <c r="A28" s="1"/>
      <c r="B28" s="114">
        <f t="shared" si="0"/>
        <v>23</v>
      </c>
      <c r="C28" s="101"/>
      <c r="D28" s="102"/>
      <c r="E28" s="114" t="s">
        <v>1016</v>
      </c>
      <c r="F28" s="101"/>
      <c r="G28" s="101"/>
      <c r="H28" s="101"/>
      <c r="I28" s="101"/>
      <c r="J28" s="101"/>
      <c r="K28" s="101"/>
      <c r="L28" s="101"/>
      <c r="M28" s="102"/>
      <c r="N28" s="103" t="s">
        <v>1019</v>
      </c>
      <c r="O28" s="101"/>
      <c r="P28" s="101"/>
      <c r="Q28" s="101"/>
      <c r="R28" s="101"/>
      <c r="S28" s="101"/>
      <c r="T28" s="101"/>
      <c r="U28" s="101"/>
      <c r="V28" s="102"/>
      <c r="W28" s="103" t="s">
        <v>581</v>
      </c>
      <c r="X28" s="101"/>
      <c r="Y28" s="101"/>
      <c r="Z28" s="101"/>
      <c r="AA28" s="101"/>
      <c r="AB28" s="102"/>
      <c r="AC28" s="103"/>
      <c r="AD28" s="101"/>
      <c r="AE28" s="102"/>
      <c r="AF28" s="112"/>
      <c r="AG28" s="101"/>
      <c r="AH28" s="102"/>
      <c r="AI28" s="112"/>
      <c r="AJ28" s="102"/>
      <c r="AK28" s="112"/>
      <c r="AL28" s="102"/>
      <c r="AM28" s="112"/>
      <c r="AN28" s="102"/>
      <c r="AO28" s="103"/>
      <c r="AP28" s="101"/>
      <c r="AQ28" s="101"/>
      <c r="AR28" s="101"/>
      <c r="AS28" s="102"/>
      <c r="AT28" s="103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21" customHeight="1">
      <c r="A29" s="1"/>
      <c r="B29" s="114">
        <f t="shared" si="0"/>
        <v>24</v>
      </c>
      <c r="C29" s="101"/>
      <c r="D29" s="102"/>
      <c r="E29" s="113" t="s">
        <v>4</v>
      </c>
      <c r="F29" s="101"/>
      <c r="G29" s="101"/>
      <c r="H29" s="101"/>
      <c r="I29" s="101"/>
      <c r="J29" s="101"/>
      <c r="K29" s="101"/>
      <c r="L29" s="101"/>
      <c r="M29" s="102"/>
      <c r="N29" s="103" t="s">
        <v>238</v>
      </c>
      <c r="O29" s="101"/>
      <c r="P29" s="101"/>
      <c r="Q29" s="101"/>
      <c r="R29" s="101"/>
      <c r="S29" s="101"/>
      <c r="T29" s="101"/>
      <c r="U29" s="101"/>
      <c r="V29" s="102"/>
      <c r="W29" s="103" t="s">
        <v>585</v>
      </c>
      <c r="X29" s="101"/>
      <c r="Y29" s="101"/>
      <c r="Z29" s="101"/>
      <c r="AA29" s="101"/>
      <c r="AB29" s="102"/>
      <c r="AC29" s="103"/>
      <c r="AD29" s="101"/>
      <c r="AE29" s="102"/>
      <c r="AF29" s="112" t="s">
        <v>198</v>
      </c>
      <c r="AG29" s="101"/>
      <c r="AH29" s="102"/>
      <c r="AI29" s="112"/>
      <c r="AJ29" s="102"/>
      <c r="AK29" s="112"/>
      <c r="AL29" s="102"/>
      <c r="AM29" s="112"/>
      <c r="AN29" s="102"/>
      <c r="AO29" s="103" t="s">
        <v>239</v>
      </c>
      <c r="AP29" s="101"/>
      <c r="AQ29" s="101"/>
      <c r="AR29" s="101"/>
      <c r="AS29" s="102"/>
      <c r="AT29" s="115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21" customHeight="1">
      <c r="A30" s="1"/>
      <c r="B30" s="114">
        <f t="shared" si="0"/>
        <v>25</v>
      </c>
      <c r="C30" s="101"/>
      <c r="D30" s="102"/>
      <c r="E30" s="113" t="s">
        <v>22</v>
      </c>
      <c r="F30" s="101"/>
      <c r="G30" s="101"/>
      <c r="H30" s="101"/>
      <c r="I30" s="101"/>
      <c r="J30" s="101"/>
      <c r="K30" s="101"/>
      <c r="L30" s="101"/>
      <c r="M30" s="102"/>
      <c r="N30" s="103" t="s">
        <v>204</v>
      </c>
      <c r="O30" s="101"/>
      <c r="P30" s="101"/>
      <c r="Q30" s="101"/>
      <c r="R30" s="101"/>
      <c r="S30" s="101"/>
      <c r="T30" s="101"/>
      <c r="U30" s="101"/>
      <c r="V30" s="102"/>
      <c r="W30" s="103" t="s">
        <v>585</v>
      </c>
      <c r="X30" s="101"/>
      <c r="Y30" s="101"/>
      <c r="Z30" s="101"/>
      <c r="AA30" s="101"/>
      <c r="AB30" s="102"/>
      <c r="AC30" s="103"/>
      <c r="AD30" s="101"/>
      <c r="AE30" s="102"/>
      <c r="AF30" s="112" t="s">
        <v>198</v>
      </c>
      <c r="AG30" s="101"/>
      <c r="AH30" s="102"/>
      <c r="AI30" s="112"/>
      <c r="AJ30" s="102"/>
      <c r="AK30" s="112"/>
      <c r="AL30" s="102"/>
      <c r="AM30" s="112"/>
      <c r="AN30" s="102"/>
      <c r="AO30" s="103" t="s">
        <v>395</v>
      </c>
      <c r="AP30" s="101"/>
      <c r="AQ30" s="101"/>
      <c r="AR30" s="101"/>
      <c r="AS30" s="102"/>
      <c r="AT30" s="115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ht="21" customHeight="1">
      <c r="A32" s="1"/>
      <c r="B32" s="1"/>
      <c r="C32" s="1"/>
      <c r="D32" s="1"/>
      <c r="E32" s="1" t="s">
        <v>240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ht="21" customHeight="1">
      <c r="A33" s="1"/>
      <c r="B33" s="1"/>
      <c r="C33" s="1"/>
      <c r="D33" s="1"/>
      <c r="E33" s="1"/>
      <c r="F33" s="1" t="s">
        <v>1025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ht="21" customHeight="1">
      <c r="A35" s="1"/>
      <c r="B35" s="1"/>
      <c r="C35" s="1"/>
      <c r="D35" s="1"/>
      <c r="E35" s="1"/>
      <c r="F35" s="1" t="s">
        <v>1037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ht="21" customHeight="1">
      <c r="A36" s="1"/>
      <c r="B36" s="1"/>
      <c r="C36" s="1"/>
      <c r="D36" s="1"/>
      <c r="E36" s="1"/>
      <c r="F36" s="1" t="s">
        <v>1026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ht="21" customHeight="1">
      <c r="A37" s="1"/>
      <c r="B37" s="1"/>
      <c r="C37" s="1"/>
      <c r="D37" s="1"/>
      <c r="E37" s="1"/>
      <c r="F37" s="1"/>
      <c r="G37" s="1" t="s">
        <v>1027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ht="21" customHeight="1">
      <c r="A38" s="1"/>
      <c r="B38" s="1"/>
      <c r="C38" s="1"/>
      <c r="D38" s="1"/>
      <c r="E38" s="1"/>
      <c r="F38" s="1" t="s">
        <v>1028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ht="21" customHeight="1">
      <c r="A39" s="1"/>
      <c r="B39" s="1"/>
      <c r="C39" s="1"/>
      <c r="D39" s="1"/>
      <c r="E39" s="1"/>
      <c r="F39" s="1"/>
      <c r="G39" s="1" t="s">
        <v>1029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ht="21" customHeight="1">
      <c r="A40" s="1"/>
      <c r="B40" s="1"/>
      <c r="C40" s="1"/>
      <c r="D40" s="1"/>
      <c r="E40" s="1"/>
      <c r="F40" s="1"/>
      <c r="G40" s="1"/>
      <c r="H40" s="1" t="s">
        <v>1032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ht="21" customHeight="1">
      <c r="A41" s="1"/>
      <c r="B41" s="1"/>
      <c r="C41" s="1"/>
      <c r="D41" s="1"/>
      <c r="E41" s="1"/>
      <c r="F41" s="1"/>
      <c r="G41" s="1"/>
      <c r="H41" s="1" t="s">
        <v>1033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ht="21" customHeight="1">
      <c r="A42" s="1"/>
      <c r="B42" s="1"/>
      <c r="C42" s="1"/>
      <c r="D42" s="1"/>
      <c r="E42" s="1"/>
      <c r="F42" s="1" t="s">
        <v>1030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ht="21" customHeight="1">
      <c r="A43" s="1"/>
      <c r="B43" s="1"/>
      <c r="C43" s="1"/>
      <c r="D43" s="1"/>
      <c r="E43" s="1"/>
      <c r="F43" s="1"/>
      <c r="G43" s="1" t="s">
        <v>1031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ht="21" customHeight="1">
      <c r="A44" s="1"/>
      <c r="B44" s="1"/>
      <c r="C44" s="1"/>
      <c r="D44" s="1"/>
      <c r="E44" s="1"/>
      <c r="F44" s="1" t="s">
        <v>1034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ht="21" customHeight="1">
      <c r="A45" s="1"/>
      <c r="B45" s="1"/>
      <c r="C45" s="1"/>
      <c r="D45" s="1"/>
      <c r="E45" s="1"/>
      <c r="F45" s="1"/>
      <c r="G45" s="1" t="s">
        <v>1035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ht="21" customHeight="1">
      <c r="A47" s="1"/>
      <c r="B47" s="1"/>
      <c r="C47" s="1"/>
      <c r="D47" s="1"/>
      <c r="E47" s="1"/>
      <c r="F47" s="1" t="s">
        <v>1036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ht="21" customHeight="1">
      <c r="A48" s="1"/>
      <c r="B48" s="1"/>
      <c r="C48" s="1"/>
      <c r="D48" s="1"/>
      <c r="E48" s="1"/>
      <c r="F48" s="1" t="s">
        <v>1038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ht="21" customHeight="1">
      <c r="A49" s="1"/>
      <c r="B49" s="1"/>
      <c r="C49" s="1"/>
      <c r="D49" s="1"/>
      <c r="E49" s="1"/>
      <c r="F49" s="1"/>
      <c r="G49" s="1" t="s">
        <v>1039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ht="21" customHeight="1">
      <c r="A50" s="1"/>
      <c r="B50" s="1"/>
      <c r="C50" s="1"/>
      <c r="D50" s="1"/>
      <c r="E50" s="1"/>
      <c r="F50" s="1" t="s">
        <v>1040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ht="21" customHeight="1">
      <c r="A51" s="1"/>
      <c r="B51" s="1"/>
      <c r="C51" s="1"/>
      <c r="D51" s="1"/>
      <c r="E51" s="1"/>
      <c r="F51" s="1"/>
      <c r="G51" s="1" t="s">
        <v>1041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ht="21" customHeight="1">
      <c r="A52" s="1"/>
      <c r="B52" s="1"/>
      <c r="C52" s="1"/>
      <c r="D52" s="1"/>
      <c r="E52" s="1"/>
      <c r="F52" s="1" t="s">
        <v>1042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ht="21" customHeight="1">
      <c r="A53" s="1"/>
      <c r="B53" s="1"/>
      <c r="C53" s="1"/>
      <c r="D53" s="1"/>
      <c r="E53" s="1"/>
      <c r="F53" s="1"/>
      <c r="G53" s="1" t="s">
        <v>1043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ht="21" customHeight="1">
      <c r="A54" s="1"/>
      <c r="B54" s="1"/>
      <c r="C54" s="1"/>
      <c r="D54" s="1"/>
      <c r="E54" s="1"/>
      <c r="F54" s="1" t="s">
        <v>1044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ht="21" customHeight="1">
      <c r="A55" s="1"/>
      <c r="B55" s="1"/>
      <c r="C55" s="1"/>
      <c r="D55" s="1"/>
      <c r="E55" s="1"/>
      <c r="F55" s="1"/>
      <c r="G55" s="1" t="s">
        <v>1045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ht="21" customHeight="1">
      <c r="A56" s="1"/>
      <c r="B56" s="1"/>
      <c r="C56" s="1"/>
      <c r="D56" s="1"/>
      <c r="E56" s="1"/>
      <c r="F56" s="1"/>
      <c r="G56" s="1"/>
      <c r="H56" s="1" t="s">
        <v>1046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ht="2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ht="21" customHeight="1"/>
    <row r="59" spans="1:57" ht="21" customHeight="1"/>
    <row r="60" spans="1:57" ht="21" customHeight="1"/>
    <row r="61" spans="1:57" ht="21" customHeight="1"/>
    <row r="62" spans="1:57" ht="21" customHeight="1"/>
    <row r="63" spans="1:57" ht="21" customHeight="1"/>
    <row r="64" spans="1:57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/>
    <row r="977"/>
    <row r="978"/>
    <row r="979"/>
    <row r="980"/>
  </sheetData>
  <mergeCells count="286"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3:AL13"/>
    <mergeCell ref="AM13:AN13"/>
    <mergeCell ref="AK26:AL26"/>
    <mergeCell ref="AM26:AN26"/>
    <mergeCell ref="AO26:AS26"/>
    <mergeCell ref="AT26:BE26"/>
    <mergeCell ref="B26:D26"/>
    <mergeCell ref="E26:M26"/>
    <mergeCell ref="N26:V26"/>
    <mergeCell ref="W26:AB26"/>
    <mergeCell ref="AC26:AE26"/>
    <mergeCell ref="AF26:AH26"/>
    <mergeCell ref="AI26:AJ26"/>
    <mergeCell ref="AK24:AL24"/>
    <mergeCell ref="AM24:AN24"/>
    <mergeCell ref="AO24:AS24"/>
    <mergeCell ref="AT24:BE24"/>
    <mergeCell ref="B24:D24"/>
    <mergeCell ref="E24:M24"/>
    <mergeCell ref="N24:V24"/>
    <mergeCell ref="W24:AB24"/>
    <mergeCell ref="AC24:AE24"/>
    <mergeCell ref="AF24:AH24"/>
    <mergeCell ref="AI24:AJ24"/>
    <mergeCell ref="AK23:AL23"/>
    <mergeCell ref="AM23:AN23"/>
    <mergeCell ref="AO23:AS23"/>
    <mergeCell ref="AT23:BE23"/>
    <mergeCell ref="B23:D23"/>
    <mergeCell ref="E23:M23"/>
    <mergeCell ref="N23:V23"/>
    <mergeCell ref="W23:AB23"/>
    <mergeCell ref="AC23:AE23"/>
    <mergeCell ref="AF23:AH23"/>
    <mergeCell ref="AI23:AJ23"/>
    <mergeCell ref="AK22:AL22"/>
    <mergeCell ref="AM22:AN22"/>
    <mergeCell ref="AO22:AS22"/>
    <mergeCell ref="AT22:BE22"/>
    <mergeCell ref="B22:D22"/>
    <mergeCell ref="E22:M22"/>
    <mergeCell ref="N22:V22"/>
    <mergeCell ref="W22:AB22"/>
    <mergeCell ref="AC22:AE22"/>
    <mergeCell ref="AF22:AH22"/>
    <mergeCell ref="AI22:AJ22"/>
    <mergeCell ref="AK20:AL20"/>
    <mergeCell ref="AM20:AN20"/>
    <mergeCell ref="AO20:AS20"/>
    <mergeCell ref="AT20:BE20"/>
    <mergeCell ref="B20:D20"/>
    <mergeCell ref="E20:M20"/>
    <mergeCell ref="N20:V20"/>
    <mergeCell ref="W20:AB20"/>
    <mergeCell ref="AC20:AE20"/>
    <mergeCell ref="AF20:AH20"/>
    <mergeCell ref="AI20:AJ20"/>
    <mergeCell ref="AK19:AL19"/>
    <mergeCell ref="AM19:AN19"/>
    <mergeCell ref="AO19:AS19"/>
    <mergeCell ref="AT19:BE19"/>
    <mergeCell ref="B19:D19"/>
    <mergeCell ref="E19:M19"/>
    <mergeCell ref="N19:V19"/>
    <mergeCell ref="W19:AB19"/>
    <mergeCell ref="AC19:AE19"/>
    <mergeCell ref="AF19:AH19"/>
    <mergeCell ref="AI19:AJ19"/>
    <mergeCell ref="AK18:AL18"/>
    <mergeCell ref="AM18:AN18"/>
    <mergeCell ref="AO18:AS18"/>
    <mergeCell ref="AT18:BE18"/>
    <mergeCell ref="B18:D18"/>
    <mergeCell ref="E18:M18"/>
    <mergeCell ref="N18:V18"/>
    <mergeCell ref="W18:AB18"/>
    <mergeCell ref="AC18:AE18"/>
    <mergeCell ref="AF18:AH18"/>
    <mergeCell ref="AI18:AJ18"/>
    <mergeCell ref="AK30:AL30"/>
    <mergeCell ref="AM30:AN30"/>
    <mergeCell ref="AO30:AS30"/>
    <mergeCell ref="AT30:BE30"/>
    <mergeCell ref="B30:D30"/>
    <mergeCell ref="E30:M30"/>
    <mergeCell ref="N30:V30"/>
    <mergeCell ref="W30:AB30"/>
    <mergeCell ref="AC30:AE30"/>
    <mergeCell ref="AF30:AH30"/>
    <mergeCell ref="AI30:AJ3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29:AL29"/>
    <mergeCell ref="AM29:AN29"/>
    <mergeCell ref="AO29:AS29"/>
    <mergeCell ref="AT29:BE29"/>
    <mergeCell ref="B29:D29"/>
    <mergeCell ref="E29:M29"/>
    <mergeCell ref="N29:V29"/>
    <mergeCell ref="W29:AB29"/>
    <mergeCell ref="AC29:AE29"/>
    <mergeCell ref="AF29:AH29"/>
    <mergeCell ref="AI29:AJ29"/>
    <mergeCell ref="AK27:AL27"/>
    <mergeCell ref="AM27:AN27"/>
    <mergeCell ref="AO27:AS27"/>
    <mergeCell ref="AT27:BE27"/>
    <mergeCell ref="B27:D27"/>
    <mergeCell ref="E27:M27"/>
    <mergeCell ref="N27:V27"/>
    <mergeCell ref="W27:AB27"/>
    <mergeCell ref="AC27:AE27"/>
    <mergeCell ref="AF27:AH27"/>
    <mergeCell ref="AI27:AJ27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B16:D16"/>
    <mergeCell ref="E16:M16"/>
    <mergeCell ref="N16:V16"/>
    <mergeCell ref="W16:AB16"/>
    <mergeCell ref="AC16:AE16"/>
    <mergeCell ref="AF16:AH16"/>
    <mergeCell ref="AI16:AJ16"/>
    <mergeCell ref="AK16:AL16"/>
    <mergeCell ref="AM16:AN16"/>
    <mergeCell ref="AO21:AS21"/>
    <mergeCell ref="AT21:BE21"/>
    <mergeCell ref="B9:D9"/>
    <mergeCell ref="E9:M9"/>
    <mergeCell ref="N9:V9"/>
    <mergeCell ref="W9:AB9"/>
    <mergeCell ref="AC9:AE9"/>
    <mergeCell ref="AF9:AH9"/>
    <mergeCell ref="AI9:AJ9"/>
    <mergeCell ref="AK9:AL9"/>
    <mergeCell ref="AM9:AN9"/>
    <mergeCell ref="AO9:AS9"/>
    <mergeCell ref="AT9:BE9"/>
    <mergeCell ref="B21:D21"/>
    <mergeCell ref="E21:M21"/>
    <mergeCell ref="N21:V21"/>
    <mergeCell ref="W21:AB21"/>
    <mergeCell ref="AC21:AE21"/>
    <mergeCell ref="AF21:AH21"/>
    <mergeCell ref="AI21:AJ21"/>
    <mergeCell ref="AK21:AL21"/>
    <mergeCell ref="AM21:AN21"/>
    <mergeCell ref="AO16:AS16"/>
    <mergeCell ref="AT16:BE16"/>
    <mergeCell ref="AO25:AS25"/>
    <mergeCell ref="AT25:BE25"/>
    <mergeCell ref="B25:D25"/>
    <mergeCell ref="E25:M25"/>
    <mergeCell ref="N25:V25"/>
    <mergeCell ref="W25:AB25"/>
    <mergeCell ref="AC25:AE25"/>
    <mergeCell ref="AF25:AH25"/>
    <mergeCell ref="AI25:AJ25"/>
    <mergeCell ref="AK25:AL25"/>
    <mergeCell ref="AM25:AN25"/>
    <mergeCell ref="AO28:AS28"/>
    <mergeCell ref="AT28:BE28"/>
    <mergeCell ref="B28:D28"/>
    <mergeCell ref="E28:M28"/>
    <mergeCell ref="N28:V28"/>
    <mergeCell ref="W28:AB28"/>
    <mergeCell ref="AC28:AE28"/>
    <mergeCell ref="AF28:AH28"/>
    <mergeCell ref="AI28:AJ28"/>
    <mergeCell ref="AK28:AL28"/>
    <mergeCell ref="AM28:AN28"/>
  </mergeCells>
  <phoneticPr fontId="12"/>
  <pageMargins left="0.70866141732283472" right="0.70866141732283472" top="0.74803149606299213" bottom="0.74803149606299213" header="0" footer="0"/>
  <pageSetup paperSize="9" scale="52" fitToWidth="0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999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78" t="s">
        <v>932</v>
      </c>
      <c r="V1" s="79"/>
      <c r="W1" s="79"/>
      <c r="X1" s="79"/>
      <c r="Y1" s="79"/>
      <c r="Z1" s="79"/>
      <c r="AA1" s="79"/>
      <c r="AB1" s="79"/>
      <c r="AC1" s="80"/>
      <c r="AD1" s="2" t="s">
        <v>4</v>
      </c>
      <c r="AE1" s="3"/>
      <c r="AF1" s="3"/>
      <c r="AG1" s="3"/>
      <c r="AH1" s="4"/>
      <c r="AI1" s="5" t="s">
        <v>207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964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81" t="s">
        <v>934</v>
      </c>
      <c r="V2" s="82"/>
      <c r="W2" s="82"/>
      <c r="X2" s="82"/>
      <c r="Y2" s="82"/>
      <c r="Z2" s="82"/>
      <c r="AA2" s="82"/>
      <c r="AB2" s="82"/>
      <c r="AC2" s="83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>ROW()-5</f>
        <v>1</v>
      </c>
      <c r="C6" s="101"/>
      <c r="D6" s="102"/>
      <c r="E6" s="113" t="s">
        <v>935</v>
      </c>
      <c r="F6" s="101"/>
      <c r="G6" s="101"/>
      <c r="H6" s="101"/>
      <c r="I6" s="101"/>
      <c r="J6" s="101"/>
      <c r="K6" s="101"/>
      <c r="L6" s="101"/>
      <c r="M6" s="102"/>
      <c r="N6" s="113" t="s">
        <v>936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ref="B7:B11" si="0">ROW()-5</f>
        <v>2</v>
      </c>
      <c r="C7" s="101"/>
      <c r="D7" s="102"/>
      <c r="E7" s="113" t="s">
        <v>209</v>
      </c>
      <c r="F7" s="101"/>
      <c r="G7" s="101"/>
      <c r="H7" s="101"/>
      <c r="I7" s="101"/>
      <c r="J7" s="101"/>
      <c r="K7" s="101"/>
      <c r="L7" s="101"/>
      <c r="M7" s="102"/>
      <c r="N7" s="113" t="s">
        <v>673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844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241</v>
      </c>
      <c r="F8" s="101"/>
      <c r="G8" s="101"/>
      <c r="H8" s="101"/>
      <c r="I8" s="101"/>
      <c r="J8" s="101"/>
      <c r="K8" s="101"/>
      <c r="L8" s="101"/>
      <c r="M8" s="102"/>
      <c r="N8" s="113" t="s">
        <v>242</v>
      </c>
      <c r="O8" s="101"/>
      <c r="P8" s="101"/>
      <c r="Q8" s="101"/>
      <c r="R8" s="101"/>
      <c r="S8" s="101"/>
      <c r="T8" s="101"/>
      <c r="U8" s="101"/>
      <c r="V8" s="102"/>
      <c r="W8" s="113" t="s">
        <v>578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 t="s">
        <v>205</v>
      </c>
      <c r="AP8" s="101"/>
      <c r="AQ8" s="101"/>
      <c r="AR8" s="101"/>
      <c r="AS8" s="102"/>
      <c r="AT8" s="113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243</v>
      </c>
      <c r="F9" s="101"/>
      <c r="G9" s="101"/>
      <c r="H9" s="101"/>
      <c r="I9" s="101"/>
      <c r="J9" s="101"/>
      <c r="K9" s="101"/>
      <c r="L9" s="101"/>
      <c r="M9" s="102"/>
      <c r="N9" s="113" t="s">
        <v>244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842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245</v>
      </c>
      <c r="F10" s="101"/>
      <c r="G10" s="101"/>
      <c r="H10" s="101"/>
      <c r="I10" s="101"/>
      <c r="J10" s="101"/>
      <c r="K10" s="101"/>
      <c r="L10" s="101"/>
      <c r="M10" s="102"/>
      <c r="N10" s="113" t="s">
        <v>246</v>
      </c>
      <c r="O10" s="101"/>
      <c r="P10" s="101"/>
      <c r="Q10" s="101"/>
      <c r="R10" s="101"/>
      <c r="S10" s="101"/>
      <c r="T10" s="101"/>
      <c r="U10" s="101"/>
      <c r="V10" s="102"/>
      <c r="W10" s="113" t="s">
        <v>587</v>
      </c>
      <c r="X10" s="101"/>
      <c r="Y10" s="101"/>
      <c r="Z10" s="101"/>
      <c r="AA10" s="101"/>
      <c r="AB10" s="102"/>
      <c r="AC10" s="113" t="s">
        <v>247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248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/>
  </sheetData>
  <mergeCells count="77">
    <mergeCell ref="B11:D11"/>
    <mergeCell ref="AT11:BE11"/>
    <mergeCell ref="AF11:AH11"/>
    <mergeCell ref="AI11:AJ11"/>
    <mergeCell ref="AK11:AL11"/>
    <mergeCell ref="AM11:AN11"/>
    <mergeCell ref="AO11:AS11"/>
    <mergeCell ref="E11:M11"/>
    <mergeCell ref="N11:V11"/>
    <mergeCell ref="W11:AB11"/>
    <mergeCell ref="AC11:AE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B8:D8"/>
    <mergeCell ref="AK8:AL8"/>
    <mergeCell ref="AM8:AN8"/>
    <mergeCell ref="AO8:AS8"/>
    <mergeCell ref="AT8:BE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35EE-01FF-4098-8671-65D7D6384B2B}">
  <sheetPr>
    <pageSetUpPr fitToPage="1"/>
  </sheetPr>
  <dimension ref="A1:BE998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920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922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992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921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917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2" si="0">ROW()-5</f>
        <v>1</v>
      </c>
      <c r="C6" s="101"/>
      <c r="D6" s="102"/>
      <c r="E6" s="113" t="s">
        <v>923</v>
      </c>
      <c r="F6" s="101"/>
      <c r="G6" s="101"/>
      <c r="H6" s="101"/>
      <c r="I6" s="101"/>
      <c r="J6" s="101"/>
      <c r="K6" s="101"/>
      <c r="L6" s="101"/>
      <c r="M6" s="102"/>
      <c r="N6" s="113" t="s">
        <v>925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924</v>
      </c>
      <c r="F7" s="101"/>
      <c r="G7" s="101"/>
      <c r="H7" s="101"/>
      <c r="I7" s="101"/>
      <c r="J7" s="101"/>
      <c r="K7" s="101"/>
      <c r="L7" s="101"/>
      <c r="M7" s="102"/>
      <c r="N7" s="113" t="s">
        <v>926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7" t="s">
        <v>927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928</v>
      </c>
      <c r="F8" s="101"/>
      <c r="G8" s="101"/>
      <c r="H8" s="101"/>
      <c r="I8" s="101"/>
      <c r="J8" s="101"/>
      <c r="K8" s="101"/>
      <c r="L8" s="101"/>
      <c r="M8" s="102"/>
      <c r="N8" s="113" t="s">
        <v>929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890</v>
      </c>
      <c r="AN8" s="102"/>
      <c r="AO8" s="113"/>
      <c r="AP8" s="101"/>
      <c r="AQ8" s="101"/>
      <c r="AR8" s="101"/>
      <c r="AS8" s="102"/>
      <c r="AT8" s="113" t="s">
        <v>930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997</v>
      </c>
      <c r="F9" s="101"/>
      <c r="G9" s="101"/>
      <c r="H9" s="101"/>
      <c r="I9" s="101"/>
      <c r="J9" s="101"/>
      <c r="K9" s="101"/>
      <c r="L9" s="101"/>
      <c r="M9" s="102"/>
      <c r="N9" s="113" t="s">
        <v>714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869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519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931</v>
      </c>
      <c r="F10" s="101"/>
      <c r="G10" s="101"/>
      <c r="H10" s="101"/>
      <c r="I10" s="101"/>
      <c r="J10" s="101"/>
      <c r="K10" s="101"/>
      <c r="L10" s="101"/>
      <c r="M10" s="102"/>
      <c r="N10" s="113" t="s">
        <v>689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519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7" t="s">
        <v>22</v>
      </c>
      <c r="F12" s="101"/>
      <c r="G12" s="101"/>
      <c r="H12" s="101"/>
      <c r="I12" s="101"/>
      <c r="J12" s="101"/>
      <c r="K12" s="101"/>
      <c r="L12" s="101"/>
      <c r="M12" s="102"/>
      <c r="N12" s="117" t="s">
        <v>204</v>
      </c>
      <c r="O12" s="101"/>
      <c r="P12" s="101"/>
      <c r="Q12" s="101"/>
      <c r="R12" s="101"/>
      <c r="S12" s="101"/>
      <c r="T12" s="101"/>
      <c r="U12" s="101"/>
      <c r="V12" s="102"/>
      <c r="W12" s="113" t="s">
        <v>578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8" t="s">
        <v>395</v>
      </c>
      <c r="AP12" s="119"/>
      <c r="AQ12" s="119"/>
      <c r="AR12" s="119"/>
      <c r="AS12" s="120"/>
      <c r="AT12" s="116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8">
    <mergeCell ref="AF9:AH9"/>
    <mergeCell ref="AI9:AJ9"/>
    <mergeCell ref="AK9:AL9"/>
    <mergeCell ref="AM9:AN9"/>
    <mergeCell ref="AO9:AS9"/>
    <mergeCell ref="B9:D9"/>
    <mergeCell ref="E9:M9"/>
    <mergeCell ref="N9:V9"/>
    <mergeCell ref="W9:AB9"/>
    <mergeCell ref="AC9:AE9"/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1:AH11"/>
    <mergeCell ref="AF10:AH10"/>
    <mergeCell ref="AI10:AJ10"/>
    <mergeCell ref="AK10:AL10"/>
    <mergeCell ref="AM10:AN10"/>
    <mergeCell ref="AO10:AS10"/>
    <mergeCell ref="AT10:BE10"/>
    <mergeCell ref="AI8:AJ8"/>
    <mergeCell ref="AK8:AL8"/>
    <mergeCell ref="AM8:AN8"/>
    <mergeCell ref="AO8:AS8"/>
    <mergeCell ref="AT8:BE8"/>
    <mergeCell ref="AT9:BE9"/>
    <mergeCell ref="B10:D10"/>
    <mergeCell ref="E10:M10"/>
    <mergeCell ref="N10:V10"/>
    <mergeCell ref="W10:AB10"/>
    <mergeCell ref="AC10:AE10"/>
    <mergeCell ref="AO7:AS7"/>
    <mergeCell ref="AT7:BE7"/>
    <mergeCell ref="AF8:AH8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7:AH7"/>
    <mergeCell ref="AF6:AH6"/>
    <mergeCell ref="AI6:AJ6"/>
    <mergeCell ref="AK6:AL6"/>
    <mergeCell ref="AM6:AN6"/>
    <mergeCell ref="AI7:AJ7"/>
    <mergeCell ref="AK7:AL7"/>
    <mergeCell ref="AM7:AN7"/>
    <mergeCell ref="AO6:AS6"/>
    <mergeCell ref="AT6:BE6"/>
    <mergeCell ref="AI5:AJ5"/>
    <mergeCell ref="AK5:AL5"/>
    <mergeCell ref="AM5:AN5"/>
    <mergeCell ref="AO5:AS5"/>
    <mergeCell ref="AT5:BE5"/>
    <mergeCell ref="B6:D6"/>
    <mergeCell ref="E6:M6"/>
    <mergeCell ref="N6:V6"/>
    <mergeCell ref="W6:AB6"/>
    <mergeCell ref="AC6:AE6"/>
    <mergeCell ref="AF5:AH5"/>
    <mergeCell ref="B5:D5"/>
    <mergeCell ref="E5:M5"/>
    <mergeCell ref="N5:V5"/>
    <mergeCell ref="W5:AB5"/>
    <mergeCell ref="AC5:AE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1003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122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253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1052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623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52" si="0">ROW()-5</f>
        <v>1</v>
      </c>
      <c r="C6" s="101"/>
      <c r="D6" s="102"/>
      <c r="E6" s="113" t="s">
        <v>254</v>
      </c>
      <c r="F6" s="101"/>
      <c r="G6" s="101"/>
      <c r="H6" s="101"/>
      <c r="I6" s="101"/>
      <c r="J6" s="101"/>
      <c r="K6" s="101"/>
      <c r="L6" s="101"/>
      <c r="M6" s="102"/>
      <c r="N6" s="113" t="s">
        <v>624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255</v>
      </c>
      <c r="F7" s="101"/>
      <c r="G7" s="101"/>
      <c r="H7" s="101"/>
      <c r="I7" s="101"/>
      <c r="J7" s="101"/>
      <c r="K7" s="101"/>
      <c r="L7" s="101"/>
      <c r="M7" s="102"/>
      <c r="N7" s="113" t="s">
        <v>771</v>
      </c>
      <c r="O7" s="101"/>
      <c r="P7" s="101"/>
      <c r="Q7" s="101"/>
      <c r="R7" s="101"/>
      <c r="S7" s="101"/>
      <c r="T7" s="101"/>
      <c r="U7" s="101"/>
      <c r="V7" s="102"/>
      <c r="W7" s="113" t="s">
        <v>582</v>
      </c>
      <c r="X7" s="101"/>
      <c r="Y7" s="101"/>
      <c r="Z7" s="101"/>
      <c r="AA7" s="101"/>
      <c r="AB7" s="102"/>
      <c r="AC7" s="113" t="s">
        <v>78</v>
      </c>
      <c r="AD7" s="101"/>
      <c r="AE7" s="102"/>
      <c r="AF7" s="112" t="s">
        <v>198</v>
      </c>
      <c r="AG7" s="101"/>
      <c r="AH7" s="102"/>
      <c r="AI7" s="112"/>
      <c r="AJ7" s="102"/>
      <c r="AK7" s="112" t="s">
        <v>201</v>
      </c>
      <c r="AL7" s="102"/>
      <c r="AM7" s="112"/>
      <c r="AN7" s="102"/>
      <c r="AO7" s="113"/>
      <c r="AP7" s="101"/>
      <c r="AQ7" s="101"/>
      <c r="AR7" s="101"/>
      <c r="AS7" s="102"/>
      <c r="AT7" s="113" t="s">
        <v>256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772</v>
      </c>
      <c r="F8" s="101"/>
      <c r="G8" s="101"/>
      <c r="H8" s="101"/>
      <c r="I8" s="101"/>
      <c r="J8" s="101"/>
      <c r="K8" s="101"/>
      <c r="L8" s="101"/>
      <c r="M8" s="102"/>
      <c r="N8" s="113" t="s">
        <v>773</v>
      </c>
      <c r="O8" s="101"/>
      <c r="P8" s="101"/>
      <c r="Q8" s="101"/>
      <c r="R8" s="101"/>
      <c r="S8" s="101"/>
      <c r="T8" s="101"/>
      <c r="U8" s="101"/>
      <c r="V8" s="102"/>
      <c r="W8" s="113" t="s">
        <v>589</v>
      </c>
      <c r="X8" s="101"/>
      <c r="Y8" s="101"/>
      <c r="Z8" s="101"/>
      <c r="AA8" s="101"/>
      <c r="AB8" s="102"/>
      <c r="AC8" s="113" t="s">
        <v>257</v>
      </c>
      <c r="AD8" s="101"/>
      <c r="AE8" s="102"/>
      <c r="AF8" s="112" t="s">
        <v>198</v>
      </c>
      <c r="AG8" s="101"/>
      <c r="AH8" s="102"/>
      <c r="AI8" s="112"/>
      <c r="AJ8" s="102"/>
      <c r="AK8" s="112" t="s">
        <v>201</v>
      </c>
      <c r="AL8" s="102"/>
      <c r="AM8" s="112"/>
      <c r="AN8" s="102"/>
      <c r="AO8" s="113"/>
      <c r="AP8" s="101"/>
      <c r="AQ8" s="101"/>
      <c r="AR8" s="101"/>
      <c r="AS8" s="102"/>
      <c r="AT8" s="113" t="s">
        <v>258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209</v>
      </c>
      <c r="F9" s="101"/>
      <c r="G9" s="101"/>
      <c r="H9" s="101"/>
      <c r="I9" s="101"/>
      <c r="J9" s="101"/>
      <c r="K9" s="101"/>
      <c r="L9" s="101"/>
      <c r="M9" s="102"/>
      <c r="N9" s="113" t="s">
        <v>673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/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844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259</v>
      </c>
      <c r="F10" s="101"/>
      <c r="G10" s="101"/>
      <c r="H10" s="101"/>
      <c r="I10" s="101"/>
      <c r="J10" s="101"/>
      <c r="K10" s="101"/>
      <c r="L10" s="101"/>
      <c r="M10" s="102"/>
      <c r="N10" s="113" t="s">
        <v>678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841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36.6" customHeight="1">
      <c r="A11" s="1"/>
      <c r="B11" s="114">
        <f t="shared" si="0"/>
        <v>6</v>
      </c>
      <c r="C11" s="101"/>
      <c r="D11" s="102"/>
      <c r="E11" s="114" t="s">
        <v>202</v>
      </c>
      <c r="F11" s="101"/>
      <c r="G11" s="101"/>
      <c r="H11" s="101"/>
      <c r="I11" s="101"/>
      <c r="J11" s="101"/>
      <c r="K11" s="101"/>
      <c r="L11" s="101"/>
      <c r="M11" s="102"/>
      <c r="N11" s="113" t="s">
        <v>203</v>
      </c>
      <c r="O11" s="101"/>
      <c r="P11" s="101"/>
      <c r="Q11" s="101"/>
      <c r="R11" s="101"/>
      <c r="S11" s="101"/>
      <c r="T11" s="101"/>
      <c r="U11" s="101"/>
      <c r="V11" s="102"/>
      <c r="W11" s="113" t="s">
        <v>577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 t="s">
        <v>198</v>
      </c>
      <c r="AN11" s="102"/>
      <c r="AO11" s="113"/>
      <c r="AP11" s="101"/>
      <c r="AQ11" s="101"/>
      <c r="AR11" s="101"/>
      <c r="AS11" s="102"/>
      <c r="AT11" s="116" t="s">
        <v>843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43.9" customHeight="1">
      <c r="A12" s="1"/>
      <c r="B12" s="114">
        <f t="shared" si="0"/>
        <v>7</v>
      </c>
      <c r="C12" s="101"/>
      <c r="D12" s="102"/>
      <c r="E12" s="114" t="s">
        <v>774</v>
      </c>
      <c r="F12" s="101"/>
      <c r="G12" s="101"/>
      <c r="H12" s="101"/>
      <c r="I12" s="101"/>
      <c r="J12" s="101"/>
      <c r="K12" s="101"/>
      <c r="L12" s="101"/>
      <c r="M12" s="102"/>
      <c r="N12" s="113" t="s">
        <v>775</v>
      </c>
      <c r="O12" s="101"/>
      <c r="P12" s="101"/>
      <c r="Q12" s="101"/>
      <c r="R12" s="101"/>
      <c r="S12" s="101"/>
      <c r="T12" s="101"/>
      <c r="U12" s="101"/>
      <c r="V12" s="102"/>
      <c r="W12" s="113" t="s">
        <v>1047</v>
      </c>
      <c r="X12" s="101"/>
      <c r="Y12" s="101"/>
      <c r="Z12" s="101"/>
      <c r="AA12" s="101"/>
      <c r="AB12" s="102"/>
      <c r="AC12" s="113" t="s">
        <v>868</v>
      </c>
      <c r="AD12" s="101"/>
      <c r="AE12" s="102"/>
      <c r="AF12" s="112"/>
      <c r="AG12" s="101"/>
      <c r="AH12" s="102"/>
      <c r="AI12" s="112"/>
      <c r="AJ12" s="102"/>
      <c r="AK12" s="112"/>
      <c r="AL12" s="102"/>
      <c r="AM12" s="128"/>
      <c r="AN12" s="120"/>
      <c r="AO12" s="118"/>
      <c r="AP12" s="119"/>
      <c r="AQ12" s="119"/>
      <c r="AR12" s="119"/>
      <c r="AS12" s="120"/>
      <c r="AT12" s="127" t="s">
        <v>881</v>
      </c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0"/>
    </row>
    <row r="13" spans="1:57" ht="40.15" customHeight="1">
      <c r="A13" s="1"/>
      <c r="B13" s="114">
        <f t="shared" si="0"/>
        <v>8</v>
      </c>
      <c r="C13" s="101"/>
      <c r="D13" s="102"/>
      <c r="E13" s="114" t="s">
        <v>211</v>
      </c>
      <c r="F13" s="101"/>
      <c r="G13" s="101"/>
      <c r="H13" s="101"/>
      <c r="I13" s="101"/>
      <c r="J13" s="101"/>
      <c r="K13" s="101"/>
      <c r="L13" s="101"/>
      <c r="M13" s="102"/>
      <c r="N13" s="113" t="s">
        <v>212</v>
      </c>
      <c r="O13" s="101"/>
      <c r="P13" s="101"/>
      <c r="Q13" s="101"/>
      <c r="R13" s="101"/>
      <c r="S13" s="101"/>
      <c r="T13" s="101"/>
      <c r="U13" s="101"/>
      <c r="V13" s="102"/>
      <c r="W13" s="113" t="s">
        <v>577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 t="s">
        <v>198</v>
      </c>
      <c r="AN13" s="102"/>
      <c r="AO13" s="113"/>
      <c r="AP13" s="101"/>
      <c r="AQ13" s="101"/>
      <c r="AR13" s="101"/>
      <c r="AS13" s="102"/>
      <c r="AT13" s="116" t="s">
        <v>842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214</v>
      </c>
      <c r="F14" s="101"/>
      <c r="G14" s="101"/>
      <c r="H14" s="101"/>
      <c r="I14" s="101"/>
      <c r="J14" s="101"/>
      <c r="K14" s="101"/>
      <c r="L14" s="101"/>
      <c r="M14" s="102"/>
      <c r="N14" s="113" t="s">
        <v>669</v>
      </c>
      <c r="O14" s="101"/>
      <c r="P14" s="101"/>
      <c r="Q14" s="101"/>
      <c r="R14" s="101"/>
      <c r="S14" s="101"/>
      <c r="T14" s="101"/>
      <c r="U14" s="101"/>
      <c r="V14" s="102"/>
      <c r="W14" s="113" t="s">
        <v>580</v>
      </c>
      <c r="X14" s="101"/>
      <c r="Y14" s="101"/>
      <c r="Z14" s="101"/>
      <c r="AA14" s="101"/>
      <c r="AB14" s="102"/>
      <c r="AC14" s="113" t="s">
        <v>215</v>
      </c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6" t="s">
        <v>216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14">
        <f t="shared" si="0"/>
        <v>10</v>
      </c>
      <c r="C15" s="101"/>
      <c r="D15" s="102"/>
      <c r="E15" s="114" t="s">
        <v>260</v>
      </c>
      <c r="F15" s="101"/>
      <c r="G15" s="101"/>
      <c r="H15" s="101"/>
      <c r="I15" s="101"/>
      <c r="J15" s="101"/>
      <c r="K15" s="101"/>
      <c r="L15" s="101"/>
      <c r="M15" s="102"/>
      <c r="N15" s="113" t="s">
        <v>670</v>
      </c>
      <c r="O15" s="101"/>
      <c r="P15" s="101"/>
      <c r="Q15" s="101"/>
      <c r="R15" s="101"/>
      <c r="S15" s="101"/>
      <c r="T15" s="101"/>
      <c r="U15" s="101"/>
      <c r="V15" s="102"/>
      <c r="W15" s="113" t="s">
        <v>587</v>
      </c>
      <c r="X15" s="101"/>
      <c r="Y15" s="101"/>
      <c r="Z15" s="101"/>
      <c r="AA15" s="101"/>
      <c r="AB15" s="102"/>
      <c r="AC15" s="113" t="s">
        <v>247</v>
      </c>
      <c r="AD15" s="101"/>
      <c r="AE15" s="102"/>
      <c r="AF15" s="112" t="s">
        <v>198</v>
      </c>
      <c r="AG15" s="101"/>
      <c r="AH15" s="102"/>
      <c r="AI15" s="112"/>
      <c r="AJ15" s="102"/>
      <c r="AK15" s="112"/>
      <c r="AL15" s="102"/>
      <c r="AM15" s="112"/>
      <c r="AN15" s="102"/>
      <c r="AO15" s="113"/>
      <c r="AP15" s="101"/>
      <c r="AQ15" s="101"/>
      <c r="AR15" s="101"/>
      <c r="AS15" s="102"/>
      <c r="AT15" s="116" t="s">
        <v>248</v>
      </c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4" t="s">
        <v>261</v>
      </c>
      <c r="F16" s="101"/>
      <c r="G16" s="101"/>
      <c r="H16" s="101"/>
      <c r="I16" s="101"/>
      <c r="J16" s="101"/>
      <c r="K16" s="101"/>
      <c r="L16" s="101"/>
      <c r="M16" s="102"/>
      <c r="N16" s="113" t="s">
        <v>680</v>
      </c>
      <c r="O16" s="101"/>
      <c r="P16" s="101"/>
      <c r="Q16" s="101"/>
      <c r="R16" s="101"/>
      <c r="S16" s="101"/>
      <c r="T16" s="101"/>
      <c r="U16" s="101"/>
      <c r="V16" s="102"/>
      <c r="W16" s="113" t="s">
        <v>590</v>
      </c>
      <c r="X16" s="101"/>
      <c r="Y16" s="101"/>
      <c r="Z16" s="101"/>
      <c r="AA16" s="101"/>
      <c r="AB16" s="102"/>
      <c r="AC16" s="113" t="s">
        <v>262</v>
      </c>
      <c r="AD16" s="101"/>
      <c r="AE16" s="102"/>
      <c r="AF16" s="112"/>
      <c r="AG16" s="101"/>
      <c r="AH16" s="102"/>
      <c r="AI16" s="112"/>
      <c r="AJ16" s="102"/>
      <c r="AK16" s="112"/>
      <c r="AL16" s="102"/>
      <c r="AM16" s="112"/>
      <c r="AN16" s="102"/>
      <c r="AO16" s="113"/>
      <c r="AP16" s="101"/>
      <c r="AQ16" s="101"/>
      <c r="AR16" s="101"/>
      <c r="AS16" s="102"/>
      <c r="AT16" s="116" t="s">
        <v>263</v>
      </c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4" t="s">
        <v>264</v>
      </c>
      <c r="F17" s="101"/>
      <c r="G17" s="101"/>
      <c r="H17" s="101"/>
      <c r="I17" s="101"/>
      <c r="J17" s="101"/>
      <c r="K17" s="101"/>
      <c r="L17" s="101"/>
      <c r="M17" s="102"/>
      <c r="N17" s="113" t="s">
        <v>265</v>
      </c>
      <c r="O17" s="101"/>
      <c r="P17" s="101"/>
      <c r="Q17" s="101"/>
      <c r="R17" s="101"/>
      <c r="S17" s="101"/>
      <c r="T17" s="101"/>
      <c r="U17" s="101"/>
      <c r="V17" s="102"/>
      <c r="W17" s="113" t="s">
        <v>590</v>
      </c>
      <c r="X17" s="101"/>
      <c r="Y17" s="101"/>
      <c r="Z17" s="101"/>
      <c r="AA17" s="101"/>
      <c r="AB17" s="102"/>
      <c r="AC17" s="113" t="s">
        <v>262</v>
      </c>
      <c r="AD17" s="101"/>
      <c r="AE17" s="102"/>
      <c r="AF17" s="112"/>
      <c r="AG17" s="101"/>
      <c r="AH17" s="102"/>
      <c r="AI17" s="112"/>
      <c r="AJ17" s="102"/>
      <c r="AK17" s="112"/>
      <c r="AL17" s="102"/>
      <c r="AM17" s="112"/>
      <c r="AN17" s="102"/>
      <c r="AO17" s="113"/>
      <c r="AP17" s="101"/>
      <c r="AQ17" s="101"/>
      <c r="AR17" s="101"/>
      <c r="AS17" s="102"/>
      <c r="AT17" s="116" t="s">
        <v>263</v>
      </c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14">
        <f t="shared" si="0"/>
        <v>13</v>
      </c>
      <c r="C18" s="101"/>
      <c r="D18" s="102"/>
      <c r="E18" s="114" t="s">
        <v>266</v>
      </c>
      <c r="F18" s="101"/>
      <c r="G18" s="101"/>
      <c r="H18" s="101"/>
      <c r="I18" s="101"/>
      <c r="J18" s="101"/>
      <c r="K18" s="101"/>
      <c r="L18" s="101"/>
      <c r="M18" s="102"/>
      <c r="N18" s="113" t="s">
        <v>267</v>
      </c>
      <c r="O18" s="101"/>
      <c r="P18" s="101"/>
      <c r="Q18" s="101"/>
      <c r="R18" s="101"/>
      <c r="S18" s="101"/>
      <c r="T18" s="101"/>
      <c r="U18" s="101"/>
      <c r="V18" s="102"/>
      <c r="W18" s="113" t="s">
        <v>591</v>
      </c>
      <c r="X18" s="101"/>
      <c r="Y18" s="101"/>
      <c r="Z18" s="101"/>
      <c r="AA18" s="101"/>
      <c r="AB18" s="102"/>
      <c r="AC18" s="113"/>
      <c r="AD18" s="101"/>
      <c r="AE18" s="102"/>
      <c r="AF18" s="112" t="s">
        <v>198</v>
      </c>
      <c r="AG18" s="101"/>
      <c r="AH18" s="102"/>
      <c r="AI18" s="112"/>
      <c r="AJ18" s="102"/>
      <c r="AK18" s="112"/>
      <c r="AL18" s="102"/>
      <c r="AM18" s="112"/>
      <c r="AN18" s="102"/>
      <c r="AO18" s="113"/>
      <c r="AP18" s="101"/>
      <c r="AQ18" s="101"/>
      <c r="AR18" s="101"/>
      <c r="AS18" s="102"/>
      <c r="AT18" s="116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21" customHeight="1">
      <c r="A19" s="1"/>
      <c r="B19" s="114">
        <f t="shared" si="0"/>
        <v>14</v>
      </c>
      <c r="C19" s="101"/>
      <c r="D19" s="102"/>
      <c r="E19" s="114" t="s">
        <v>268</v>
      </c>
      <c r="F19" s="101"/>
      <c r="G19" s="101"/>
      <c r="H19" s="101"/>
      <c r="I19" s="101"/>
      <c r="J19" s="101"/>
      <c r="K19" s="101"/>
      <c r="L19" s="101"/>
      <c r="M19" s="102"/>
      <c r="N19" s="113" t="s">
        <v>776</v>
      </c>
      <c r="O19" s="101"/>
      <c r="P19" s="101"/>
      <c r="Q19" s="101"/>
      <c r="R19" s="101"/>
      <c r="S19" s="101"/>
      <c r="T19" s="101"/>
      <c r="U19" s="101"/>
      <c r="V19" s="102"/>
      <c r="W19" s="113" t="s">
        <v>584</v>
      </c>
      <c r="X19" s="101"/>
      <c r="Y19" s="101"/>
      <c r="Z19" s="101"/>
      <c r="AA19" s="101"/>
      <c r="AB19" s="102"/>
      <c r="AC19" s="113"/>
      <c r="AD19" s="101"/>
      <c r="AE19" s="102"/>
      <c r="AF19" s="112" t="s">
        <v>198</v>
      </c>
      <c r="AG19" s="101"/>
      <c r="AH19" s="102"/>
      <c r="AI19" s="112"/>
      <c r="AJ19" s="102"/>
      <c r="AK19" s="112"/>
      <c r="AL19" s="102"/>
      <c r="AM19" s="112"/>
      <c r="AN19" s="102"/>
      <c r="AO19" s="113"/>
      <c r="AP19" s="101"/>
      <c r="AQ19" s="101"/>
      <c r="AR19" s="101"/>
      <c r="AS19" s="102"/>
      <c r="AT19" s="116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21" customHeight="1">
      <c r="A20" s="1"/>
      <c r="B20" s="114">
        <f t="shared" si="0"/>
        <v>15</v>
      </c>
      <c r="C20" s="101"/>
      <c r="D20" s="102"/>
      <c r="E20" s="114" t="s">
        <v>609</v>
      </c>
      <c r="F20" s="101"/>
      <c r="G20" s="101"/>
      <c r="H20" s="101"/>
      <c r="I20" s="101"/>
      <c r="J20" s="101"/>
      <c r="K20" s="101"/>
      <c r="L20" s="101"/>
      <c r="M20" s="102"/>
      <c r="N20" s="113" t="s">
        <v>777</v>
      </c>
      <c r="O20" s="101"/>
      <c r="P20" s="101"/>
      <c r="Q20" s="101"/>
      <c r="R20" s="101"/>
      <c r="S20" s="101"/>
      <c r="T20" s="101"/>
      <c r="U20" s="101"/>
      <c r="V20" s="102"/>
      <c r="W20" s="113" t="s">
        <v>584</v>
      </c>
      <c r="X20" s="101"/>
      <c r="Y20" s="101"/>
      <c r="Z20" s="101"/>
      <c r="AA20" s="101"/>
      <c r="AB20" s="102"/>
      <c r="AC20" s="113"/>
      <c r="AD20" s="101"/>
      <c r="AE20" s="102"/>
      <c r="AF20" s="112"/>
      <c r="AG20" s="101"/>
      <c r="AH20" s="102"/>
      <c r="AI20" s="112"/>
      <c r="AJ20" s="102"/>
      <c r="AK20" s="112"/>
      <c r="AL20" s="102"/>
      <c r="AM20" s="112"/>
      <c r="AN20" s="102"/>
      <c r="AO20" s="113"/>
      <c r="AP20" s="101"/>
      <c r="AQ20" s="101"/>
      <c r="AR20" s="101"/>
      <c r="AS20" s="102"/>
      <c r="AT20" s="116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21" customHeight="1">
      <c r="A21" s="1"/>
      <c r="B21" s="114">
        <f t="shared" si="0"/>
        <v>16</v>
      </c>
      <c r="C21" s="101"/>
      <c r="D21" s="102"/>
      <c r="E21" s="114" t="s">
        <v>269</v>
      </c>
      <c r="F21" s="101"/>
      <c r="G21" s="101"/>
      <c r="H21" s="101"/>
      <c r="I21" s="101"/>
      <c r="J21" s="101"/>
      <c r="K21" s="101"/>
      <c r="L21" s="101"/>
      <c r="M21" s="102"/>
      <c r="N21" s="113" t="s">
        <v>778</v>
      </c>
      <c r="O21" s="101"/>
      <c r="P21" s="101"/>
      <c r="Q21" s="101"/>
      <c r="R21" s="101"/>
      <c r="S21" s="101"/>
      <c r="T21" s="101"/>
      <c r="U21" s="101"/>
      <c r="V21" s="102"/>
      <c r="W21" s="113" t="s">
        <v>584</v>
      </c>
      <c r="X21" s="101"/>
      <c r="Y21" s="101"/>
      <c r="Z21" s="101"/>
      <c r="AA21" s="101"/>
      <c r="AB21" s="102"/>
      <c r="AC21" s="113"/>
      <c r="AD21" s="101"/>
      <c r="AE21" s="102"/>
      <c r="AF21" s="112"/>
      <c r="AG21" s="101"/>
      <c r="AH21" s="102"/>
      <c r="AI21" s="112"/>
      <c r="AJ21" s="102"/>
      <c r="AK21" s="112"/>
      <c r="AL21" s="102"/>
      <c r="AM21" s="112"/>
      <c r="AN21" s="102"/>
      <c r="AO21" s="113"/>
      <c r="AP21" s="101"/>
      <c r="AQ21" s="101"/>
      <c r="AR21" s="101"/>
      <c r="AS21" s="102"/>
      <c r="AT21" s="116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21" customHeight="1">
      <c r="A22" s="1"/>
      <c r="B22" s="114">
        <f t="shared" si="0"/>
        <v>17</v>
      </c>
      <c r="C22" s="101"/>
      <c r="D22" s="102"/>
      <c r="E22" s="114" t="s">
        <v>270</v>
      </c>
      <c r="F22" s="101"/>
      <c r="G22" s="101"/>
      <c r="H22" s="101"/>
      <c r="I22" s="101"/>
      <c r="J22" s="101"/>
      <c r="K22" s="101"/>
      <c r="L22" s="101"/>
      <c r="M22" s="102"/>
      <c r="N22" s="113" t="s">
        <v>779</v>
      </c>
      <c r="O22" s="101"/>
      <c r="P22" s="101"/>
      <c r="Q22" s="101"/>
      <c r="R22" s="101"/>
      <c r="S22" s="101"/>
      <c r="T22" s="101"/>
      <c r="U22" s="101"/>
      <c r="V22" s="102"/>
      <c r="W22" s="113" t="s">
        <v>584</v>
      </c>
      <c r="X22" s="101"/>
      <c r="Y22" s="101"/>
      <c r="Z22" s="101"/>
      <c r="AA22" s="101"/>
      <c r="AB22" s="102"/>
      <c r="AC22" s="113"/>
      <c r="AD22" s="101"/>
      <c r="AE22" s="102"/>
      <c r="AF22" s="112"/>
      <c r="AG22" s="101"/>
      <c r="AH22" s="102"/>
      <c r="AI22" s="112"/>
      <c r="AJ22" s="102"/>
      <c r="AK22" s="112"/>
      <c r="AL22" s="102"/>
      <c r="AM22" s="112"/>
      <c r="AN22" s="102"/>
      <c r="AO22" s="113"/>
      <c r="AP22" s="101"/>
      <c r="AQ22" s="101"/>
      <c r="AR22" s="101"/>
      <c r="AS22" s="102"/>
      <c r="AT22" s="116" t="s">
        <v>271</v>
      </c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12.5" customHeight="1">
      <c r="A23" s="1"/>
      <c r="B23" s="114">
        <f t="shared" si="0"/>
        <v>18</v>
      </c>
      <c r="C23" s="101"/>
      <c r="D23" s="102"/>
      <c r="E23" s="114" t="s">
        <v>272</v>
      </c>
      <c r="F23" s="101"/>
      <c r="G23" s="101"/>
      <c r="H23" s="101"/>
      <c r="I23" s="101"/>
      <c r="J23" s="101"/>
      <c r="K23" s="101"/>
      <c r="L23" s="101"/>
      <c r="M23" s="102"/>
      <c r="N23" s="113" t="s">
        <v>273</v>
      </c>
      <c r="O23" s="101"/>
      <c r="P23" s="101"/>
      <c r="Q23" s="101"/>
      <c r="R23" s="101"/>
      <c r="S23" s="101"/>
      <c r="T23" s="101"/>
      <c r="U23" s="101"/>
      <c r="V23" s="102"/>
      <c r="W23" s="113" t="s">
        <v>582</v>
      </c>
      <c r="X23" s="101"/>
      <c r="Y23" s="101"/>
      <c r="Z23" s="101"/>
      <c r="AA23" s="101"/>
      <c r="AB23" s="102"/>
      <c r="AC23" s="113" t="s">
        <v>78</v>
      </c>
      <c r="AD23" s="101"/>
      <c r="AE23" s="102"/>
      <c r="AF23" s="112" t="s">
        <v>198</v>
      </c>
      <c r="AG23" s="101"/>
      <c r="AH23" s="102"/>
      <c r="AI23" s="112"/>
      <c r="AJ23" s="102"/>
      <c r="AK23" s="112"/>
      <c r="AL23" s="102"/>
      <c r="AM23" s="112"/>
      <c r="AN23" s="102"/>
      <c r="AO23" s="113" t="s">
        <v>274</v>
      </c>
      <c r="AP23" s="101"/>
      <c r="AQ23" s="101"/>
      <c r="AR23" s="101"/>
      <c r="AS23" s="102"/>
      <c r="AT23" s="116" t="s">
        <v>275</v>
      </c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76.5" customHeight="1">
      <c r="A24" s="1"/>
      <c r="B24" s="114">
        <f t="shared" si="0"/>
        <v>19</v>
      </c>
      <c r="C24" s="101"/>
      <c r="D24" s="102"/>
      <c r="E24" s="114" t="s">
        <v>276</v>
      </c>
      <c r="F24" s="101"/>
      <c r="G24" s="101"/>
      <c r="H24" s="101"/>
      <c r="I24" s="101"/>
      <c r="J24" s="101"/>
      <c r="K24" s="101"/>
      <c r="L24" s="101"/>
      <c r="M24" s="102"/>
      <c r="N24" s="113" t="s">
        <v>277</v>
      </c>
      <c r="O24" s="101"/>
      <c r="P24" s="101"/>
      <c r="Q24" s="101"/>
      <c r="R24" s="101"/>
      <c r="S24" s="101"/>
      <c r="T24" s="101"/>
      <c r="U24" s="101"/>
      <c r="V24" s="102"/>
      <c r="W24" s="113" t="s">
        <v>582</v>
      </c>
      <c r="X24" s="101"/>
      <c r="Y24" s="101"/>
      <c r="Z24" s="101"/>
      <c r="AA24" s="101"/>
      <c r="AB24" s="102"/>
      <c r="AC24" s="113" t="s">
        <v>78</v>
      </c>
      <c r="AD24" s="101"/>
      <c r="AE24" s="102"/>
      <c r="AF24" s="112" t="s">
        <v>198</v>
      </c>
      <c r="AG24" s="101"/>
      <c r="AH24" s="102"/>
      <c r="AI24" s="112"/>
      <c r="AJ24" s="102"/>
      <c r="AK24" s="112"/>
      <c r="AL24" s="102"/>
      <c r="AM24" s="112"/>
      <c r="AN24" s="102"/>
      <c r="AO24" s="113" t="s">
        <v>274</v>
      </c>
      <c r="AP24" s="101"/>
      <c r="AQ24" s="101"/>
      <c r="AR24" s="101"/>
      <c r="AS24" s="102"/>
      <c r="AT24" s="116" t="s">
        <v>278</v>
      </c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84.75" customHeight="1">
      <c r="A25" s="1"/>
      <c r="B25" s="114">
        <f t="shared" si="0"/>
        <v>20</v>
      </c>
      <c r="C25" s="101"/>
      <c r="D25" s="102"/>
      <c r="E25" s="114" t="s">
        <v>279</v>
      </c>
      <c r="F25" s="101"/>
      <c r="G25" s="101"/>
      <c r="H25" s="101"/>
      <c r="I25" s="101"/>
      <c r="J25" s="101"/>
      <c r="K25" s="101"/>
      <c r="L25" s="101"/>
      <c r="M25" s="102"/>
      <c r="N25" s="113" t="s">
        <v>280</v>
      </c>
      <c r="O25" s="101"/>
      <c r="P25" s="101"/>
      <c r="Q25" s="101"/>
      <c r="R25" s="101"/>
      <c r="S25" s="101"/>
      <c r="T25" s="101"/>
      <c r="U25" s="101"/>
      <c r="V25" s="102"/>
      <c r="W25" s="113" t="s">
        <v>582</v>
      </c>
      <c r="X25" s="101"/>
      <c r="Y25" s="101"/>
      <c r="Z25" s="101"/>
      <c r="AA25" s="101"/>
      <c r="AB25" s="102"/>
      <c r="AC25" s="113" t="s">
        <v>78</v>
      </c>
      <c r="AD25" s="101"/>
      <c r="AE25" s="102"/>
      <c r="AF25" s="112" t="s">
        <v>198</v>
      </c>
      <c r="AG25" s="101"/>
      <c r="AH25" s="102"/>
      <c r="AI25" s="112"/>
      <c r="AJ25" s="102"/>
      <c r="AK25" s="112"/>
      <c r="AL25" s="102"/>
      <c r="AM25" s="112"/>
      <c r="AN25" s="102"/>
      <c r="AO25" s="113" t="s">
        <v>281</v>
      </c>
      <c r="AP25" s="101"/>
      <c r="AQ25" s="101"/>
      <c r="AR25" s="101"/>
      <c r="AS25" s="102"/>
      <c r="AT25" s="116" t="s">
        <v>282</v>
      </c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21" customHeight="1">
      <c r="A26" s="1"/>
      <c r="B26" s="114">
        <f t="shared" si="0"/>
        <v>21</v>
      </c>
      <c r="C26" s="101"/>
      <c r="D26" s="102"/>
      <c r="E26" s="114" t="s">
        <v>283</v>
      </c>
      <c r="F26" s="101"/>
      <c r="G26" s="101"/>
      <c r="H26" s="101"/>
      <c r="I26" s="101"/>
      <c r="J26" s="101"/>
      <c r="K26" s="101"/>
      <c r="L26" s="101"/>
      <c r="M26" s="102"/>
      <c r="N26" s="113" t="s">
        <v>610</v>
      </c>
      <c r="O26" s="101"/>
      <c r="P26" s="101"/>
      <c r="Q26" s="101"/>
      <c r="R26" s="101"/>
      <c r="S26" s="101"/>
      <c r="T26" s="101"/>
      <c r="U26" s="101"/>
      <c r="V26" s="102"/>
      <c r="W26" s="113" t="s">
        <v>592</v>
      </c>
      <c r="X26" s="101"/>
      <c r="Y26" s="101"/>
      <c r="Z26" s="101"/>
      <c r="AA26" s="101"/>
      <c r="AB26" s="102"/>
      <c r="AC26" s="113" t="s">
        <v>284</v>
      </c>
      <c r="AD26" s="101"/>
      <c r="AE26" s="102"/>
      <c r="AF26" s="112"/>
      <c r="AG26" s="101"/>
      <c r="AH26" s="102"/>
      <c r="AI26" s="112"/>
      <c r="AJ26" s="102"/>
      <c r="AK26" s="112"/>
      <c r="AL26" s="102"/>
      <c r="AM26" s="112"/>
      <c r="AN26" s="102"/>
      <c r="AO26" s="113"/>
      <c r="AP26" s="101"/>
      <c r="AQ26" s="101"/>
      <c r="AR26" s="101"/>
      <c r="AS26" s="102"/>
      <c r="AT26" s="116" t="s">
        <v>285</v>
      </c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21" customHeight="1">
      <c r="A27" s="1"/>
      <c r="B27" s="114">
        <f t="shared" si="0"/>
        <v>22</v>
      </c>
      <c r="C27" s="101"/>
      <c r="D27" s="102"/>
      <c r="E27" s="114" t="s">
        <v>286</v>
      </c>
      <c r="F27" s="101"/>
      <c r="G27" s="101"/>
      <c r="H27" s="101"/>
      <c r="I27" s="101"/>
      <c r="J27" s="101"/>
      <c r="K27" s="101"/>
      <c r="L27" s="101"/>
      <c r="M27" s="102"/>
      <c r="N27" s="113" t="s">
        <v>287</v>
      </c>
      <c r="O27" s="101"/>
      <c r="P27" s="101"/>
      <c r="Q27" s="101"/>
      <c r="R27" s="101"/>
      <c r="S27" s="101"/>
      <c r="T27" s="101"/>
      <c r="U27" s="101"/>
      <c r="V27" s="102"/>
      <c r="W27" s="113" t="s">
        <v>586</v>
      </c>
      <c r="X27" s="101"/>
      <c r="Y27" s="101"/>
      <c r="Z27" s="101"/>
      <c r="AA27" s="101"/>
      <c r="AB27" s="102"/>
      <c r="AC27" s="113"/>
      <c r="AD27" s="101"/>
      <c r="AE27" s="102"/>
      <c r="AF27" s="112" t="s">
        <v>198</v>
      </c>
      <c r="AG27" s="101"/>
      <c r="AH27" s="102"/>
      <c r="AI27" s="112"/>
      <c r="AJ27" s="102"/>
      <c r="AK27" s="112"/>
      <c r="AL27" s="102"/>
      <c r="AM27" s="112"/>
      <c r="AN27" s="102"/>
      <c r="AO27" s="113" t="s">
        <v>780</v>
      </c>
      <c r="AP27" s="101"/>
      <c r="AQ27" s="101"/>
      <c r="AR27" s="101"/>
      <c r="AS27" s="102"/>
      <c r="AT27" s="116" t="s">
        <v>781</v>
      </c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37.9" customHeight="1">
      <c r="A28" s="1"/>
      <c r="B28" s="114">
        <f t="shared" si="0"/>
        <v>23</v>
      </c>
      <c r="C28" s="101"/>
      <c r="D28" s="102"/>
      <c r="E28" s="114" t="s">
        <v>220</v>
      </c>
      <c r="F28" s="101"/>
      <c r="G28" s="101"/>
      <c r="H28" s="101"/>
      <c r="I28" s="101"/>
      <c r="J28" s="101"/>
      <c r="K28" s="101"/>
      <c r="L28" s="101"/>
      <c r="M28" s="102"/>
      <c r="N28" s="113" t="s">
        <v>221</v>
      </c>
      <c r="O28" s="101"/>
      <c r="P28" s="101"/>
      <c r="Q28" s="101"/>
      <c r="R28" s="101"/>
      <c r="S28" s="101"/>
      <c r="T28" s="101"/>
      <c r="U28" s="101"/>
      <c r="V28" s="102"/>
      <c r="W28" s="113" t="s">
        <v>577</v>
      </c>
      <c r="X28" s="101"/>
      <c r="Y28" s="101"/>
      <c r="Z28" s="101"/>
      <c r="AA28" s="101"/>
      <c r="AB28" s="102"/>
      <c r="AC28" s="113"/>
      <c r="AD28" s="101"/>
      <c r="AE28" s="102"/>
      <c r="AF28" s="112"/>
      <c r="AG28" s="101"/>
      <c r="AH28" s="102"/>
      <c r="AI28" s="112"/>
      <c r="AJ28" s="102"/>
      <c r="AK28" s="112"/>
      <c r="AL28" s="102"/>
      <c r="AM28" s="112" t="s">
        <v>198</v>
      </c>
      <c r="AN28" s="102"/>
      <c r="AO28" s="113"/>
      <c r="AP28" s="101"/>
      <c r="AQ28" s="101"/>
      <c r="AR28" s="101"/>
      <c r="AS28" s="102"/>
      <c r="AT28" s="116" t="s">
        <v>845</v>
      </c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21" customHeight="1">
      <c r="A29" s="1"/>
      <c r="B29" s="114">
        <f t="shared" si="0"/>
        <v>24</v>
      </c>
      <c r="C29" s="101"/>
      <c r="D29" s="102"/>
      <c r="E29" s="114" t="s">
        <v>222</v>
      </c>
      <c r="F29" s="101"/>
      <c r="G29" s="101"/>
      <c r="H29" s="101"/>
      <c r="I29" s="101"/>
      <c r="J29" s="101"/>
      <c r="K29" s="101"/>
      <c r="L29" s="101"/>
      <c r="M29" s="102"/>
      <c r="N29" s="113" t="s">
        <v>223</v>
      </c>
      <c r="O29" s="101"/>
      <c r="P29" s="101"/>
      <c r="Q29" s="101"/>
      <c r="R29" s="101"/>
      <c r="S29" s="101"/>
      <c r="T29" s="101"/>
      <c r="U29" s="101"/>
      <c r="V29" s="102"/>
      <c r="W29" s="113" t="s">
        <v>578</v>
      </c>
      <c r="X29" s="101"/>
      <c r="Y29" s="101"/>
      <c r="Z29" s="101"/>
      <c r="AA29" s="101"/>
      <c r="AB29" s="102"/>
      <c r="AC29" s="113"/>
      <c r="AD29" s="101"/>
      <c r="AE29" s="102"/>
      <c r="AF29" s="112"/>
      <c r="AG29" s="101"/>
      <c r="AH29" s="102"/>
      <c r="AI29" s="112"/>
      <c r="AJ29" s="102"/>
      <c r="AK29" s="112"/>
      <c r="AL29" s="102"/>
      <c r="AM29" s="112"/>
      <c r="AN29" s="102"/>
      <c r="AO29" s="113"/>
      <c r="AP29" s="101"/>
      <c r="AQ29" s="101"/>
      <c r="AR29" s="101"/>
      <c r="AS29" s="102"/>
      <c r="AT29" s="116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21" customHeight="1">
      <c r="A30" s="1"/>
      <c r="B30" s="114">
        <f t="shared" si="0"/>
        <v>25</v>
      </c>
      <c r="C30" s="101"/>
      <c r="D30" s="102"/>
      <c r="E30" s="114" t="s">
        <v>288</v>
      </c>
      <c r="F30" s="101"/>
      <c r="G30" s="101"/>
      <c r="H30" s="101"/>
      <c r="I30" s="101"/>
      <c r="J30" s="101"/>
      <c r="K30" s="101"/>
      <c r="L30" s="101"/>
      <c r="M30" s="102"/>
      <c r="N30" s="113" t="s">
        <v>671</v>
      </c>
      <c r="O30" s="101"/>
      <c r="P30" s="101"/>
      <c r="Q30" s="101"/>
      <c r="R30" s="101"/>
      <c r="S30" s="101"/>
      <c r="T30" s="101"/>
      <c r="U30" s="101"/>
      <c r="V30" s="102"/>
      <c r="W30" s="113" t="s">
        <v>580</v>
      </c>
      <c r="X30" s="101"/>
      <c r="Y30" s="101"/>
      <c r="Z30" s="101"/>
      <c r="AA30" s="101"/>
      <c r="AB30" s="102"/>
      <c r="AC30" s="113" t="s">
        <v>215</v>
      </c>
      <c r="AD30" s="101"/>
      <c r="AE30" s="102"/>
      <c r="AF30" s="112" t="s">
        <v>198</v>
      </c>
      <c r="AG30" s="101"/>
      <c r="AH30" s="102"/>
      <c r="AI30" s="112"/>
      <c r="AJ30" s="102"/>
      <c r="AK30" s="112"/>
      <c r="AL30" s="102"/>
      <c r="AM30" s="112"/>
      <c r="AN30" s="102"/>
      <c r="AO30" s="113"/>
      <c r="AP30" s="101"/>
      <c r="AQ30" s="101"/>
      <c r="AR30" s="101"/>
      <c r="AS30" s="102"/>
      <c r="AT30" s="116" t="s">
        <v>216</v>
      </c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21" customHeight="1">
      <c r="A31" s="1"/>
      <c r="B31" s="114">
        <f t="shared" si="0"/>
        <v>26</v>
      </c>
      <c r="C31" s="101"/>
      <c r="D31" s="102"/>
      <c r="E31" s="114" t="s">
        <v>289</v>
      </c>
      <c r="F31" s="101"/>
      <c r="G31" s="101"/>
      <c r="H31" s="101"/>
      <c r="I31" s="101"/>
      <c r="J31" s="101"/>
      <c r="K31" s="101"/>
      <c r="L31" s="101"/>
      <c r="M31" s="102"/>
      <c r="N31" s="113" t="s">
        <v>782</v>
      </c>
      <c r="O31" s="101"/>
      <c r="P31" s="101"/>
      <c r="Q31" s="101"/>
      <c r="R31" s="101"/>
      <c r="S31" s="101"/>
      <c r="T31" s="101"/>
      <c r="U31" s="101"/>
      <c r="V31" s="102"/>
      <c r="W31" s="113" t="s">
        <v>584</v>
      </c>
      <c r="X31" s="101"/>
      <c r="Y31" s="101"/>
      <c r="Z31" s="101"/>
      <c r="AA31" s="101"/>
      <c r="AB31" s="102"/>
      <c r="AC31" s="113"/>
      <c r="AD31" s="101"/>
      <c r="AE31" s="102"/>
      <c r="AF31" s="112"/>
      <c r="AG31" s="101"/>
      <c r="AH31" s="102"/>
      <c r="AI31" s="112"/>
      <c r="AJ31" s="102"/>
      <c r="AK31" s="112"/>
      <c r="AL31" s="102"/>
      <c r="AM31" s="112"/>
      <c r="AN31" s="102"/>
      <c r="AO31" s="113"/>
      <c r="AP31" s="101"/>
      <c r="AQ31" s="101"/>
      <c r="AR31" s="101"/>
      <c r="AS31" s="102"/>
      <c r="AT31" s="116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21" customHeight="1">
      <c r="A32" s="1"/>
      <c r="B32" s="114">
        <f t="shared" si="0"/>
        <v>27</v>
      </c>
      <c r="C32" s="101"/>
      <c r="D32" s="102"/>
      <c r="E32" s="114" t="s">
        <v>290</v>
      </c>
      <c r="F32" s="101"/>
      <c r="G32" s="101"/>
      <c r="H32" s="101"/>
      <c r="I32" s="101"/>
      <c r="J32" s="101"/>
      <c r="K32" s="101"/>
      <c r="L32" s="101"/>
      <c r="M32" s="102"/>
      <c r="N32" s="113" t="s">
        <v>783</v>
      </c>
      <c r="O32" s="101"/>
      <c r="P32" s="101"/>
      <c r="Q32" s="101"/>
      <c r="R32" s="101"/>
      <c r="S32" s="101"/>
      <c r="T32" s="101"/>
      <c r="U32" s="101"/>
      <c r="V32" s="102"/>
      <c r="W32" s="113" t="s">
        <v>584</v>
      </c>
      <c r="X32" s="101"/>
      <c r="Y32" s="101"/>
      <c r="Z32" s="101"/>
      <c r="AA32" s="101"/>
      <c r="AB32" s="102"/>
      <c r="AC32" s="113"/>
      <c r="AD32" s="101"/>
      <c r="AE32" s="102"/>
      <c r="AF32" s="112"/>
      <c r="AG32" s="101"/>
      <c r="AH32" s="102"/>
      <c r="AI32" s="112"/>
      <c r="AJ32" s="102"/>
      <c r="AK32" s="112"/>
      <c r="AL32" s="102"/>
      <c r="AM32" s="112"/>
      <c r="AN32" s="102"/>
      <c r="AO32" s="113"/>
      <c r="AP32" s="101"/>
      <c r="AQ32" s="101"/>
      <c r="AR32" s="101"/>
      <c r="AS32" s="102"/>
      <c r="AT32" s="116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21" customHeight="1">
      <c r="A33" s="1"/>
      <c r="B33" s="114">
        <f t="shared" si="0"/>
        <v>28</v>
      </c>
      <c r="C33" s="101"/>
      <c r="D33" s="102"/>
      <c r="E33" s="114" t="s">
        <v>291</v>
      </c>
      <c r="F33" s="101"/>
      <c r="G33" s="101"/>
      <c r="H33" s="101"/>
      <c r="I33" s="101"/>
      <c r="J33" s="101"/>
      <c r="K33" s="101"/>
      <c r="L33" s="101"/>
      <c r="M33" s="102"/>
      <c r="N33" s="113" t="s">
        <v>784</v>
      </c>
      <c r="O33" s="101"/>
      <c r="P33" s="101"/>
      <c r="Q33" s="101"/>
      <c r="R33" s="101"/>
      <c r="S33" s="101"/>
      <c r="T33" s="101"/>
      <c r="U33" s="101"/>
      <c r="V33" s="102"/>
      <c r="W33" s="113" t="s">
        <v>584</v>
      </c>
      <c r="X33" s="101"/>
      <c r="Y33" s="101"/>
      <c r="Z33" s="101"/>
      <c r="AA33" s="101"/>
      <c r="AB33" s="102"/>
      <c r="AC33" s="113"/>
      <c r="AD33" s="101"/>
      <c r="AE33" s="102"/>
      <c r="AF33" s="112"/>
      <c r="AG33" s="101"/>
      <c r="AH33" s="102"/>
      <c r="AI33" s="112"/>
      <c r="AJ33" s="102"/>
      <c r="AK33" s="112"/>
      <c r="AL33" s="102"/>
      <c r="AM33" s="112"/>
      <c r="AN33" s="102"/>
      <c r="AO33" s="113"/>
      <c r="AP33" s="101"/>
      <c r="AQ33" s="101"/>
      <c r="AR33" s="101"/>
      <c r="AS33" s="102"/>
      <c r="AT33" s="116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21" customHeight="1">
      <c r="A34" s="1"/>
      <c r="B34" s="114">
        <f t="shared" si="0"/>
        <v>29</v>
      </c>
      <c r="C34" s="101"/>
      <c r="D34" s="102"/>
      <c r="E34" s="114" t="s">
        <v>292</v>
      </c>
      <c r="F34" s="101"/>
      <c r="G34" s="101"/>
      <c r="H34" s="101"/>
      <c r="I34" s="101"/>
      <c r="J34" s="101"/>
      <c r="K34" s="101"/>
      <c r="L34" s="101"/>
      <c r="M34" s="102"/>
      <c r="N34" s="113" t="s">
        <v>293</v>
      </c>
      <c r="O34" s="101"/>
      <c r="P34" s="101"/>
      <c r="Q34" s="101"/>
      <c r="R34" s="101"/>
      <c r="S34" s="101"/>
      <c r="T34" s="101"/>
      <c r="U34" s="101"/>
      <c r="V34" s="102"/>
      <c r="W34" s="113" t="s">
        <v>591</v>
      </c>
      <c r="X34" s="101"/>
      <c r="Y34" s="101"/>
      <c r="Z34" s="101"/>
      <c r="AA34" s="101"/>
      <c r="AB34" s="102"/>
      <c r="AC34" s="113"/>
      <c r="AD34" s="101"/>
      <c r="AE34" s="102"/>
      <c r="AF34" s="112"/>
      <c r="AG34" s="101"/>
      <c r="AH34" s="102"/>
      <c r="AI34" s="112"/>
      <c r="AJ34" s="102"/>
      <c r="AK34" s="112"/>
      <c r="AL34" s="102"/>
      <c r="AM34" s="112"/>
      <c r="AN34" s="102"/>
      <c r="AO34" s="113"/>
      <c r="AP34" s="101"/>
      <c r="AQ34" s="101"/>
      <c r="AR34" s="101"/>
      <c r="AS34" s="102"/>
      <c r="AT34" s="116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21" customHeight="1">
      <c r="A35" s="1"/>
      <c r="B35" s="114">
        <f t="shared" si="0"/>
        <v>30</v>
      </c>
      <c r="C35" s="101"/>
      <c r="D35" s="102"/>
      <c r="E35" s="114" t="s">
        <v>612</v>
      </c>
      <c r="F35" s="101"/>
      <c r="G35" s="101"/>
      <c r="H35" s="101"/>
      <c r="I35" s="101"/>
      <c r="J35" s="101"/>
      <c r="K35" s="101"/>
      <c r="L35" s="101"/>
      <c r="M35" s="102"/>
      <c r="N35" s="113" t="s">
        <v>751</v>
      </c>
      <c r="O35" s="101"/>
      <c r="P35" s="101"/>
      <c r="Q35" s="101"/>
      <c r="R35" s="101"/>
      <c r="S35" s="101"/>
      <c r="T35" s="101"/>
      <c r="U35" s="101"/>
      <c r="V35" s="102"/>
      <c r="W35" s="113" t="s">
        <v>591</v>
      </c>
      <c r="X35" s="101"/>
      <c r="Y35" s="101"/>
      <c r="Z35" s="101"/>
      <c r="AA35" s="101"/>
      <c r="AB35" s="102"/>
      <c r="AC35" s="113"/>
      <c r="AD35" s="101"/>
      <c r="AE35" s="102"/>
      <c r="AF35" s="112"/>
      <c r="AG35" s="101"/>
      <c r="AH35" s="102"/>
      <c r="AI35" s="112"/>
      <c r="AJ35" s="102"/>
      <c r="AK35" s="112"/>
      <c r="AL35" s="102"/>
      <c r="AM35" s="112"/>
      <c r="AN35" s="102"/>
      <c r="AO35" s="113"/>
      <c r="AP35" s="101"/>
      <c r="AQ35" s="101"/>
      <c r="AR35" s="101"/>
      <c r="AS35" s="102"/>
      <c r="AT35" s="116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2"/>
    </row>
    <row r="36" spans="1:57" ht="21" customHeight="1">
      <c r="A36" s="1"/>
      <c r="B36" s="114">
        <f t="shared" si="0"/>
        <v>31</v>
      </c>
      <c r="C36" s="101"/>
      <c r="D36" s="102"/>
      <c r="E36" s="114" t="s">
        <v>294</v>
      </c>
      <c r="F36" s="101"/>
      <c r="G36" s="101"/>
      <c r="H36" s="101"/>
      <c r="I36" s="101"/>
      <c r="J36" s="101"/>
      <c r="K36" s="101"/>
      <c r="L36" s="101"/>
      <c r="M36" s="102"/>
      <c r="N36" s="113" t="s">
        <v>611</v>
      </c>
      <c r="O36" s="101"/>
      <c r="P36" s="101"/>
      <c r="Q36" s="101"/>
      <c r="R36" s="101"/>
      <c r="S36" s="101"/>
      <c r="T36" s="101"/>
      <c r="U36" s="101"/>
      <c r="V36" s="102"/>
      <c r="W36" s="113" t="s">
        <v>591</v>
      </c>
      <c r="X36" s="101"/>
      <c r="Y36" s="101"/>
      <c r="Z36" s="101"/>
      <c r="AA36" s="101"/>
      <c r="AB36" s="102"/>
      <c r="AC36" s="113"/>
      <c r="AD36" s="101"/>
      <c r="AE36" s="102"/>
      <c r="AF36" s="112"/>
      <c r="AG36" s="101"/>
      <c r="AH36" s="102"/>
      <c r="AI36" s="112"/>
      <c r="AJ36" s="102"/>
      <c r="AK36" s="112"/>
      <c r="AL36" s="102"/>
      <c r="AM36" s="112"/>
      <c r="AN36" s="102"/>
      <c r="AO36" s="113"/>
      <c r="AP36" s="101"/>
      <c r="AQ36" s="101"/>
      <c r="AR36" s="101"/>
      <c r="AS36" s="102"/>
      <c r="AT36" s="116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2"/>
    </row>
    <row r="37" spans="1:57" ht="39" customHeight="1">
      <c r="A37" s="1"/>
      <c r="B37" s="114">
        <f t="shared" si="0"/>
        <v>32</v>
      </c>
      <c r="C37" s="101"/>
      <c r="D37" s="102"/>
      <c r="E37" s="114" t="s">
        <v>785</v>
      </c>
      <c r="F37" s="101"/>
      <c r="G37" s="101"/>
      <c r="H37" s="101"/>
      <c r="I37" s="101"/>
      <c r="J37" s="101"/>
      <c r="K37" s="101"/>
      <c r="L37" s="101"/>
      <c r="M37" s="102"/>
      <c r="N37" s="113" t="s">
        <v>295</v>
      </c>
      <c r="O37" s="101"/>
      <c r="P37" s="101"/>
      <c r="Q37" s="101"/>
      <c r="R37" s="101"/>
      <c r="S37" s="101"/>
      <c r="T37" s="101"/>
      <c r="U37" s="101"/>
      <c r="V37" s="102"/>
      <c r="W37" s="113" t="s">
        <v>586</v>
      </c>
      <c r="X37" s="101"/>
      <c r="Y37" s="101"/>
      <c r="Z37" s="101"/>
      <c r="AA37" s="101"/>
      <c r="AB37" s="102"/>
      <c r="AC37" s="113"/>
      <c r="AD37" s="101"/>
      <c r="AE37" s="102"/>
      <c r="AF37" s="112" t="s">
        <v>198</v>
      </c>
      <c r="AG37" s="101"/>
      <c r="AH37" s="102"/>
      <c r="AI37" s="112"/>
      <c r="AJ37" s="102"/>
      <c r="AK37" s="112"/>
      <c r="AL37" s="102"/>
      <c r="AM37" s="112"/>
      <c r="AN37" s="102"/>
      <c r="AO37" s="113" t="s">
        <v>791</v>
      </c>
      <c r="AP37" s="101"/>
      <c r="AQ37" s="101"/>
      <c r="AR37" s="101"/>
      <c r="AS37" s="102"/>
      <c r="AT37" s="116" t="s">
        <v>797</v>
      </c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2"/>
    </row>
    <row r="38" spans="1:57" ht="42" customHeight="1">
      <c r="A38" s="1"/>
      <c r="B38" s="114">
        <f t="shared" si="0"/>
        <v>33</v>
      </c>
      <c r="C38" s="101"/>
      <c r="D38" s="102"/>
      <c r="E38" s="114" t="s">
        <v>786</v>
      </c>
      <c r="F38" s="101"/>
      <c r="G38" s="101"/>
      <c r="H38" s="101"/>
      <c r="I38" s="101"/>
      <c r="J38" s="101"/>
      <c r="K38" s="101"/>
      <c r="L38" s="101"/>
      <c r="M38" s="102"/>
      <c r="N38" s="113" t="s">
        <v>296</v>
      </c>
      <c r="O38" s="101"/>
      <c r="P38" s="101"/>
      <c r="Q38" s="101"/>
      <c r="R38" s="101"/>
      <c r="S38" s="101"/>
      <c r="T38" s="101"/>
      <c r="U38" s="101"/>
      <c r="V38" s="102"/>
      <c r="W38" s="113" t="s">
        <v>586</v>
      </c>
      <c r="X38" s="101"/>
      <c r="Y38" s="101"/>
      <c r="Z38" s="101"/>
      <c r="AA38" s="101"/>
      <c r="AB38" s="102"/>
      <c r="AC38" s="113"/>
      <c r="AD38" s="101"/>
      <c r="AE38" s="102"/>
      <c r="AF38" s="112" t="s">
        <v>198</v>
      </c>
      <c r="AG38" s="101"/>
      <c r="AH38" s="102"/>
      <c r="AI38" s="112"/>
      <c r="AJ38" s="102"/>
      <c r="AK38" s="112"/>
      <c r="AL38" s="102"/>
      <c r="AM38" s="112"/>
      <c r="AN38" s="102"/>
      <c r="AO38" s="113" t="s">
        <v>792</v>
      </c>
      <c r="AP38" s="101"/>
      <c r="AQ38" s="101"/>
      <c r="AR38" s="101"/>
      <c r="AS38" s="102"/>
      <c r="AT38" s="116" t="s">
        <v>846</v>
      </c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2"/>
    </row>
    <row r="39" spans="1:57" ht="39" customHeight="1">
      <c r="A39" s="1"/>
      <c r="B39" s="114">
        <f t="shared" si="0"/>
        <v>34</v>
      </c>
      <c r="C39" s="101"/>
      <c r="D39" s="102"/>
      <c r="E39" s="114" t="s">
        <v>787</v>
      </c>
      <c r="F39" s="101"/>
      <c r="G39" s="101"/>
      <c r="H39" s="101"/>
      <c r="I39" s="101"/>
      <c r="J39" s="101"/>
      <c r="K39" s="101"/>
      <c r="L39" s="101"/>
      <c r="M39" s="102"/>
      <c r="N39" s="113" t="s">
        <v>297</v>
      </c>
      <c r="O39" s="101"/>
      <c r="P39" s="101"/>
      <c r="Q39" s="101"/>
      <c r="R39" s="101"/>
      <c r="S39" s="101"/>
      <c r="T39" s="101"/>
      <c r="U39" s="101"/>
      <c r="V39" s="102"/>
      <c r="W39" s="113" t="s">
        <v>586</v>
      </c>
      <c r="X39" s="101"/>
      <c r="Y39" s="101"/>
      <c r="Z39" s="101"/>
      <c r="AA39" s="101"/>
      <c r="AB39" s="102"/>
      <c r="AC39" s="113"/>
      <c r="AD39" s="101"/>
      <c r="AE39" s="102"/>
      <c r="AF39" s="112" t="s">
        <v>198</v>
      </c>
      <c r="AG39" s="101"/>
      <c r="AH39" s="102"/>
      <c r="AI39" s="112"/>
      <c r="AJ39" s="102"/>
      <c r="AK39" s="112"/>
      <c r="AL39" s="102"/>
      <c r="AM39" s="112"/>
      <c r="AN39" s="102"/>
      <c r="AO39" s="113" t="s">
        <v>793</v>
      </c>
      <c r="AP39" s="101"/>
      <c r="AQ39" s="101"/>
      <c r="AR39" s="101"/>
      <c r="AS39" s="102"/>
      <c r="AT39" s="116" t="s">
        <v>798</v>
      </c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2"/>
    </row>
    <row r="40" spans="1:57" ht="42" customHeight="1">
      <c r="A40" s="1"/>
      <c r="B40" s="114">
        <f t="shared" si="0"/>
        <v>35</v>
      </c>
      <c r="C40" s="101"/>
      <c r="D40" s="102"/>
      <c r="E40" s="114" t="s">
        <v>788</v>
      </c>
      <c r="F40" s="101"/>
      <c r="G40" s="101"/>
      <c r="H40" s="101"/>
      <c r="I40" s="101"/>
      <c r="J40" s="101"/>
      <c r="K40" s="101"/>
      <c r="L40" s="101"/>
      <c r="M40" s="102"/>
      <c r="N40" s="113" t="s">
        <v>298</v>
      </c>
      <c r="O40" s="101"/>
      <c r="P40" s="101"/>
      <c r="Q40" s="101"/>
      <c r="R40" s="101"/>
      <c r="S40" s="101"/>
      <c r="T40" s="101"/>
      <c r="U40" s="101"/>
      <c r="V40" s="102"/>
      <c r="W40" s="113" t="s">
        <v>586</v>
      </c>
      <c r="X40" s="101"/>
      <c r="Y40" s="101"/>
      <c r="Z40" s="101"/>
      <c r="AA40" s="101"/>
      <c r="AB40" s="102"/>
      <c r="AC40" s="113"/>
      <c r="AD40" s="101"/>
      <c r="AE40" s="102"/>
      <c r="AF40" s="112" t="s">
        <v>198</v>
      </c>
      <c r="AG40" s="101"/>
      <c r="AH40" s="102"/>
      <c r="AI40" s="112"/>
      <c r="AJ40" s="102"/>
      <c r="AK40" s="112"/>
      <c r="AL40" s="102"/>
      <c r="AM40" s="112"/>
      <c r="AN40" s="102"/>
      <c r="AO40" s="113" t="s">
        <v>794</v>
      </c>
      <c r="AP40" s="101"/>
      <c r="AQ40" s="101"/>
      <c r="AR40" s="101"/>
      <c r="AS40" s="102"/>
      <c r="AT40" s="116" t="s">
        <v>799</v>
      </c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2"/>
    </row>
    <row r="41" spans="1:57" ht="38.25" customHeight="1">
      <c r="A41" s="1"/>
      <c r="B41" s="114">
        <f t="shared" si="0"/>
        <v>36</v>
      </c>
      <c r="C41" s="101"/>
      <c r="D41" s="102"/>
      <c r="E41" s="114" t="s">
        <v>789</v>
      </c>
      <c r="F41" s="101"/>
      <c r="G41" s="101"/>
      <c r="H41" s="101"/>
      <c r="I41" s="101"/>
      <c r="J41" s="101"/>
      <c r="K41" s="101"/>
      <c r="L41" s="101"/>
      <c r="M41" s="102"/>
      <c r="N41" s="113" t="s">
        <v>299</v>
      </c>
      <c r="O41" s="101"/>
      <c r="P41" s="101"/>
      <c r="Q41" s="101"/>
      <c r="R41" s="101"/>
      <c r="S41" s="101"/>
      <c r="T41" s="101"/>
      <c r="U41" s="101"/>
      <c r="V41" s="102"/>
      <c r="W41" s="113" t="s">
        <v>586</v>
      </c>
      <c r="X41" s="101"/>
      <c r="Y41" s="101"/>
      <c r="Z41" s="101"/>
      <c r="AA41" s="101"/>
      <c r="AB41" s="102"/>
      <c r="AC41" s="113"/>
      <c r="AD41" s="101"/>
      <c r="AE41" s="102"/>
      <c r="AF41" s="112" t="s">
        <v>198</v>
      </c>
      <c r="AG41" s="101"/>
      <c r="AH41" s="102"/>
      <c r="AI41" s="112"/>
      <c r="AJ41" s="102"/>
      <c r="AK41" s="112"/>
      <c r="AL41" s="102"/>
      <c r="AM41" s="112"/>
      <c r="AN41" s="102"/>
      <c r="AO41" s="113" t="s">
        <v>795</v>
      </c>
      <c r="AP41" s="101"/>
      <c r="AQ41" s="101"/>
      <c r="AR41" s="101"/>
      <c r="AS41" s="102"/>
      <c r="AT41" s="116" t="s">
        <v>800</v>
      </c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2"/>
    </row>
    <row r="42" spans="1:57" ht="42" customHeight="1">
      <c r="A42" s="1"/>
      <c r="B42" s="114">
        <f t="shared" si="0"/>
        <v>37</v>
      </c>
      <c r="C42" s="101"/>
      <c r="D42" s="102"/>
      <c r="E42" s="114" t="s">
        <v>790</v>
      </c>
      <c r="F42" s="101"/>
      <c r="G42" s="101"/>
      <c r="H42" s="101"/>
      <c r="I42" s="101"/>
      <c r="J42" s="101"/>
      <c r="K42" s="101"/>
      <c r="L42" s="101"/>
      <c r="M42" s="102"/>
      <c r="N42" s="113" t="s">
        <v>300</v>
      </c>
      <c r="O42" s="101"/>
      <c r="P42" s="101"/>
      <c r="Q42" s="101"/>
      <c r="R42" s="101"/>
      <c r="S42" s="101"/>
      <c r="T42" s="101"/>
      <c r="U42" s="101"/>
      <c r="V42" s="102"/>
      <c r="W42" s="113" t="s">
        <v>586</v>
      </c>
      <c r="X42" s="101"/>
      <c r="Y42" s="101"/>
      <c r="Z42" s="101"/>
      <c r="AA42" s="101"/>
      <c r="AB42" s="102"/>
      <c r="AC42" s="113"/>
      <c r="AD42" s="101"/>
      <c r="AE42" s="102"/>
      <c r="AF42" s="112" t="s">
        <v>198</v>
      </c>
      <c r="AG42" s="101"/>
      <c r="AH42" s="102"/>
      <c r="AI42" s="112"/>
      <c r="AJ42" s="102"/>
      <c r="AK42" s="112"/>
      <c r="AL42" s="102"/>
      <c r="AM42" s="112"/>
      <c r="AN42" s="102"/>
      <c r="AO42" s="113" t="s">
        <v>796</v>
      </c>
      <c r="AP42" s="101"/>
      <c r="AQ42" s="101"/>
      <c r="AR42" s="101"/>
      <c r="AS42" s="102"/>
      <c r="AT42" s="116" t="s">
        <v>801</v>
      </c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2"/>
    </row>
    <row r="43" spans="1:57" ht="36.6" customHeight="1">
      <c r="A43" s="1"/>
      <c r="B43" s="114">
        <f t="shared" si="0"/>
        <v>38</v>
      </c>
      <c r="C43" s="101"/>
      <c r="D43" s="102"/>
      <c r="E43" s="114" t="s">
        <v>802</v>
      </c>
      <c r="F43" s="101"/>
      <c r="G43" s="101"/>
      <c r="H43" s="101"/>
      <c r="I43" s="101"/>
      <c r="J43" s="101"/>
      <c r="K43" s="101"/>
      <c r="L43" s="101"/>
      <c r="M43" s="102"/>
      <c r="N43" s="113" t="s">
        <v>301</v>
      </c>
      <c r="O43" s="101"/>
      <c r="P43" s="101"/>
      <c r="Q43" s="101"/>
      <c r="R43" s="101"/>
      <c r="S43" s="101"/>
      <c r="T43" s="101"/>
      <c r="U43" s="101"/>
      <c r="V43" s="102"/>
      <c r="W43" s="113" t="s">
        <v>586</v>
      </c>
      <c r="X43" s="101"/>
      <c r="Y43" s="101"/>
      <c r="Z43" s="101"/>
      <c r="AA43" s="101"/>
      <c r="AB43" s="102"/>
      <c r="AC43" s="113"/>
      <c r="AD43" s="101"/>
      <c r="AE43" s="102"/>
      <c r="AF43" s="112" t="s">
        <v>198</v>
      </c>
      <c r="AG43" s="101"/>
      <c r="AH43" s="102"/>
      <c r="AI43" s="112"/>
      <c r="AJ43" s="102"/>
      <c r="AK43" s="112"/>
      <c r="AL43" s="102"/>
      <c r="AM43" s="112"/>
      <c r="AN43" s="102"/>
      <c r="AO43" s="113" t="s">
        <v>805</v>
      </c>
      <c r="AP43" s="101"/>
      <c r="AQ43" s="101"/>
      <c r="AR43" s="101"/>
      <c r="AS43" s="102"/>
      <c r="AT43" s="116" t="s">
        <v>808</v>
      </c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2"/>
    </row>
    <row r="44" spans="1:57" ht="36.6" customHeight="1">
      <c r="A44" s="1"/>
      <c r="B44" s="114">
        <f t="shared" si="0"/>
        <v>39</v>
      </c>
      <c r="C44" s="101"/>
      <c r="D44" s="102"/>
      <c r="E44" s="114" t="s">
        <v>803</v>
      </c>
      <c r="F44" s="101"/>
      <c r="G44" s="101"/>
      <c r="H44" s="101"/>
      <c r="I44" s="101"/>
      <c r="J44" s="101"/>
      <c r="K44" s="101"/>
      <c r="L44" s="101"/>
      <c r="M44" s="102"/>
      <c r="N44" s="113" t="s">
        <v>302</v>
      </c>
      <c r="O44" s="101"/>
      <c r="P44" s="101"/>
      <c r="Q44" s="101"/>
      <c r="R44" s="101"/>
      <c r="S44" s="101"/>
      <c r="T44" s="101"/>
      <c r="U44" s="101"/>
      <c r="V44" s="102"/>
      <c r="W44" s="113" t="s">
        <v>586</v>
      </c>
      <c r="X44" s="101"/>
      <c r="Y44" s="101"/>
      <c r="Z44" s="101"/>
      <c r="AA44" s="101"/>
      <c r="AB44" s="102"/>
      <c r="AC44" s="113"/>
      <c r="AD44" s="101"/>
      <c r="AE44" s="102"/>
      <c r="AF44" s="112" t="s">
        <v>198</v>
      </c>
      <c r="AG44" s="101"/>
      <c r="AH44" s="102"/>
      <c r="AI44" s="112"/>
      <c r="AJ44" s="102"/>
      <c r="AK44" s="112"/>
      <c r="AL44" s="102"/>
      <c r="AM44" s="112"/>
      <c r="AN44" s="102"/>
      <c r="AO44" s="113" t="s">
        <v>806</v>
      </c>
      <c r="AP44" s="101"/>
      <c r="AQ44" s="101"/>
      <c r="AR44" s="101"/>
      <c r="AS44" s="102"/>
      <c r="AT44" s="116" t="s">
        <v>809</v>
      </c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2"/>
    </row>
    <row r="45" spans="1:57" ht="36.6" customHeight="1">
      <c r="A45" s="1"/>
      <c r="B45" s="114">
        <f t="shared" si="0"/>
        <v>40</v>
      </c>
      <c r="C45" s="101"/>
      <c r="D45" s="102"/>
      <c r="E45" s="114" t="s">
        <v>804</v>
      </c>
      <c r="F45" s="101"/>
      <c r="G45" s="101"/>
      <c r="H45" s="101"/>
      <c r="I45" s="101"/>
      <c r="J45" s="101"/>
      <c r="K45" s="101"/>
      <c r="L45" s="101"/>
      <c r="M45" s="102"/>
      <c r="N45" s="113" t="s">
        <v>303</v>
      </c>
      <c r="O45" s="101"/>
      <c r="P45" s="101"/>
      <c r="Q45" s="101"/>
      <c r="R45" s="101"/>
      <c r="S45" s="101"/>
      <c r="T45" s="101"/>
      <c r="U45" s="101"/>
      <c r="V45" s="102"/>
      <c r="W45" s="113" t="s">
        <v>586</v>
      </c>
      <c r="X45" s="101"/>
      <c r="Y45" s="101"/>
      <c r="Z45" s="101"/>
      <c r="AA45" s="101"/>
      <c r="AB45" s="102"/>
      <c r="AC45" s="113"/>
      <c r="AD45" s="101"/>
      <c r="AE45" s="102"/>
      <c r="AF45" s="112" t="s">
        <v>198</v>
      </c>
      <c r="AG45" s="101"/>
      <c r="AH45" s="102"/>
      <c r="AI45" s="112"/>
      <c r="AJ45" s="102"/>
      <c r="AK45" s="112"/>
      <c r="AL45" s="102"/>
      <c r="AM45" s="112"/>
      <c r="AN45" s="102"/>
      <c r="AO45" s="113" t="s">
        <v>807</v>
      </c>
      <c r="AP45" s="101"/>
      <c r="AQ45" s="101"/>
      <c r="AR45" s="101"/>
      <c r="AS45" s="102"/>
      <c r="AT45" s="116" t="s">
        <v>810</v>
      </c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2"/>
    </row>
    <row r="46" spans="1:57" ht="39.6" customHeight="1">
      <c r="A46" s="1"/>
      <c r="B46" s="114">
        <f t="shared" si="0"/>
        <v>41</v>
      </c>
      <c r="C46" s="101"/>
      <c r="D46" s="102"/>
      <c r="E46" s="114" t="s">
        <v>219</v>
      </c>
      <c r="F46" s="101"/>
      <c r="G46" s="101"/>
      <c r="H46" s="101"/>
      <c r="I46" s="101"/>
      <c r="J46" s="101"/>
      <c r="K46" s="101"/>
      <c r="L46" s="101"/>
      <c r="M46" s="102"/>
      <c r="N46" s="113" t="s">
        <v>679</v>
      </c>
      <c r="O46" s="101"/>
      <c r="P46" s="101"/>
      <c r="Q46" s="101"/>
      <c r="R46" s="101"/>
      <c r="S46" s="101"/>
      <c r="T46" s="101"/>
      <c r="U46" s="101"/>
      <c r="V46" s="102"/>
      <c r="W46" s="113" t="s">
        <v>577</v>
      </c>
      <c r="X46" s="101"/>
      <c r="Y46" s="101"/>
      <c r="Z46" s="101"/>
      <c r="AA46" s="101"/>
      <c r="AB46" s="102"/>
      <c r="AC46" s="113"/>
      <c r="AD46" s="101"/>
      <c r="AE46" s="102"/>
      <c r="AF46" s="112"/>
      <c r="AG46" s="101"/>
      <c r="AH46" s="102"/>
      <c r="AI46" s="112"/>
      <c r="AJ46" s="102"/>
      <c r="AK46" s="112"/>
      <c r="AL46" s="102"/>
      <c r="AM46" s="112" t="s">
        <v>198</v>
      </c>
      <c r="AN46" s="102"/>
      <c r="AO46" s="113"/>
      <c r="AP46" s="101"/>
      <c r="AQ46" s="101"/>
      <c r="AR46" s="101"/>
      <c r="AS46" s="102"/>
      <c r="AT46" s="116" t="s">
        <v>841</v>
      </c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2"/>
    </row>
    <row r="47" spans="1:57" ht="39.6" customHeight="1">
      <c r="A47" s="1"/>
      <c r="B47" s="114">
        <f t="shared" si="0"/>
        <v>42</v>
      </c>
      <c r="C47" s="101"/>
      <c r="D47" s="102"/>
      <c r="E47" s="114" t="s">
        <v>304</v>
      </c>
      <c r="F47" s="101"/>
      <c r="G47" s="101"/>
      <c r="H47" s="101"/>
      <c r="I47" s="101"/>
      <c r="J47" s="101"/>
      <c r="K47" s="101"/>
      <c r="L47" s="101"/>
      <c r="M47" s="102"/>
      <c r="N47" s="113" t="s">
        <v>305</v>
      </c>
      <c r="O47" s="101"/>
      <c r="P47" s="101"/>
      <c r="Q47" s="101"/>
      <c r="R47" s="101"/>
      <c r="S47" s="101"/>
      <c r="T47" s="101"/>
      <c r="U47" s="101"/>
      <c r="V47" s="102"/>
      <c r="W47" s="113" t="s">
        <v>577</v>
      </c>
      <c r="X47" s="101"/>
      <c r="Y47" s="101"/>
      <c r="Z47" s="101"/>
      <c r="AA47" s="101"/>
      <c r="AB47" s="102"/>
      <c r="AC47" s="113"/>
      <c r="AD47" s="101"/>
      <c r="AE47" s="102"/>
      <c r="AF47" s="112"/>
      <c r="AG47" s="101"/>
      <c r="AH47" s="102"/>
      <c r="AI47" s="112"/>
      <c r="AJ47" s="102"/>
      <c r="AK47" s="112"/>
      <c r="AL47" s="102"/>
      <c r="AM47" s="112" t="s">
        <v>198</v>
      </c>
      <c r="AN47" s="102"/>
      <c r="AO47" s="113"/>
      <c r="AP47" s="101"/>
      <c r="AQ47" s="101"/>
      <c r="AR47" s="101"/>
      <c r="AS47" s="102"/>
      <c r="AT47" s="116" t="s">
        <v>842</v>
      </c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2"/>
    </row>
    <row r="48" spans="1:57" ht="21" customHeight="1">
      <c r="A48" s="1"/>
      <c r="B48" s="114">
        <f t="shared" si="0"/>
        <v>43</v>
      </c>
      <c r="C48" s="101"/>
      <c r="D48" s="102"/>
      <c r="E48" s="114" t="s">
        <v>306</v>
      </c>
      <c r="F48" s="101"/>
      <c r="G48" s="101"/>
      <c r="H48" s="101"/>
      <c r="I48" s="101"/>
      <c r="J48" s="101"/>
      <c r="K48" s="101"/>
      <c r="L48" s="101"/>
      <c r="M48" s="102"/>
      <c r="N48" s="113" t="s">
        <v>307</v>
      </c>
      <c r="O48" s="101"/>
      <c r="P48" s="101"/>
      <c r="Q48" s="101"/>
      <c r="R48" s="101"/>
      <c r="S48" s="101"/>
      <c r="T48" s="101"/>
      <c r="U48" s="101"/>
      <c r="V48" s="102"/>
      <c r="W48" s="113" t="s">
        <v>581</v>
      </c>
      <c r="X48" s="101"/>
      <c r="Y48" s="101"/>
      <c r="Z48" s="101"/>
      <c r="AA48" s="101"/>
      <c r="AB48" s="102"/>
      <c r="AC48" s="113"/>
      <c r="AD48" s="101"/>
      <c r="AE48" s="102"/>
      <c r="AF48" s="112"/>
      <c r="AG48" s="101"/>
      <c r="AH48" s="102"/>
      <c r="AI48" s="112"/>
      <c r="AJ48" s="102"/>
      <c r="AK48" s="112"/>
      <c r="AL48" s="102"/>
      <c r="AM48" s="112"/>
      <c r="AN48" s="102"/>
      <c r="AO48" s="113"/>
      <c r="AP48" s="101"/>
      <c r="AQ48" s="101"/>
      <c r="AR48" s="101"/>
      <c r="AS48" s="102"/>
      <c r="AT48" s="116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2"/>
    </row>
    <row r="49" spans="1:57" ht="21" customHeight="1">
      <c r="A49" s="1"/>
      <c r="B49" s="114">
        <f t="shared" si="0"/>
        <v>44</v>
      </c>
      <c r="C49" s="101"/>
      <c r="D49" s="102"/>
      <c r="E49" s="114" t="s">
        <v>308</v>
      </c>
      <c r="F49" s="101"/>
      <c r="G49" s="101"/>
      <c r="H49" s="101"/>
      <c r="I49" s="101"/>
      <c r="J49" s="101"/>
      <c r="K49" s="101"/>
      <c r="L49" s="101"/>
      <c r="M49" s="102"/>
      <c r="N49" s="113" t="s">
        <v>811</v>
      </c>
      <c r="O49" s="101"/>
      <c r="P49" s="101"/>
      <c r="Q49" s="101"/>
      <c r="R49" s="101"/>
      <c r="S49" s="101"/>
      <c r="T49" s="101"/>
      <c r="U49" s="101"/>
      <c r="V49" s="102"/>
      <c r="W49" s="113" t="s">
        <v>584</v>
      </c>
      <c r="X49" s="101"/>
      <c r="Y49" s="101"/>
      <c r="Z49" s="101"/>
      <c r="AA49" s="101"/>
      <c r="AB49" s="102"/>
      <c r="AC49" s="113"/>
      <c r="AD49" s="101"/>
      <c r="AE49" s="102"/>
      <c r="AF49" s="112"/>
      <c r="AG49" s="101"/>
      <c r="AH49" s="102"/>
      <c r="AI49" s="112"/>
      <c r="AJ49" s="102"/>
      <c r="AK49" s="112"/>
      <c r="AL49" s="102"/>
      <c r="AM49" s="112"/>
      <c r="AN49" s="102"/>
      <c r="AO49" s="113"/>
      <c r="AP49" s="101"/>
      <c r="AQ49" s="101"/>
      <c r="AR49" s="101"/>
      <c r="AS49" s="102"/>
      <c r="AT49" s="116" t="s">
        <v>309</v>
      </c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2"/>
    </row>
    <row r="50" spans="1:57" ht="117.4" customHeight="1">
      <c r="A50" s="1"/>
      <c r="B50" s="114">
        <f t="shared" si="0"/>
        <v>45</v>
      </c>
      <c r="C50" s="101"/>
      <c r="D50" s="102"/>
      <c r="E50" s="126" t="s">
        <v>224</v>
      </c>
      <c r="F50" s="124"/>
      <c r="G50" s="124"/>
      <c r="H50" s="124"/>
      <c r="I50" s="124"/>
      <c r="J50" s="124"/>
      <c r="K50" s="124"/>
      <c r="L50" s="124"/>
      <c r="M50" s="122"/>
      <c r="N50" s="123" t="s">
        <v>812</v>
      </c>
      <c r="O50" s="124"/>
      <c r="P50" s="124"/>
      <c r="Q50" s="124"/>
      <c r="R50" s="124"/>
      <c r="S50" s="124"/>
      <c r="T50" s="124"/>
      <c r="U50" s="124"/>
      <c r="V50" s="122"/>
      <c r="W50" s="123" t="s">
        <v>582</v>
      </c>
      <c r="X50" s="124"/>
      <c r="Y50" s="124"/>
      <c r="Z50" s="124"/>
      <c r="AA50" s="124"/>
      <c r="AB50" s="122"/>
      <c r="AC50" s="123" t="s">
        <v>78</v>
      </c>
      <c r="AD50" s="124"/>
      <c r="AE50" s="122"/>
      <c r="AF50" s="121" t="s">
        <v>198</v>
      </c>
      <c r="AG50" s="124"/>
      <c r="AH50" s="122"/>
      <c r="AI50" s="121"/>
      <c r="AJ50" s="122"/>
      <c r="AK50" s="121"/>
      <c r="AL50" s="122"/>
      <c r="AM50" s="121"/>
      <c r="AN50" s="122"/>
      <c r="AO50" s="123" t="s">
        <v>310</v>
      </c>
      <c r="AP50" s="124"/>
      <c r="AQ50" s="124"/>
      <c r="AR50" s="124"/>
      <c r="AS50" s="122"/>
      <c r="AT50" s="125" t="s">
        <v>524</v>
      </c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2"/>
    </row>
    <row r="51" spans="1:57" ht="21" customHeight="1">
      <c r="A51" s="1"/>
      <c r="B51" s="114">
        <f t="shared" si="0"/>
        <v>46</v>
      </c>
      <c r="C51" s="101"/>
      <c r="D51" s="102"/>
      <c r="E51" s="113" t="s">
        <v>4</v>
      </c>
      <c r="F51" s="101"/>
      <c r="G51" s="101"/>
      <c r="H51" s="101"/>
      <c r="I51" s="101"/>
      <c r="J51" s="101"/>
      <c r="K51" s="101"/>
      <c r="L51" s="101"/>
      <c r="M51" s="102"/>
      <c r="N51" s="113" t="s">
        <v>238</v>
      </c>
      <c r="O51" s="101"/>
      <c r="P51" s="101"/>
      <c r="Q51" s="101"/>
      <c r="R51" s="101"/>
      <c r="S51" s="101"/>
      <c r="T51" s="101"/>
      <c r="U51" s="101"/>
      <c r="V51" s="102"/>
      <c r="W51" s="113" t="s">
        <v>585</v>
      </c>
      <c r="X51" s="101"/>
      <c r="Y51" s="101"/>
      <c r="Z51" s="101"/>
      <c r="AA51" s="101"/>
      <c r="AB51" s="102"/>
      <c r="AC51" s="113"/>
      <c r="AD51" s="101"/>
      <c r="AE51" s="102"/>
      <c r="AF51" s="112" t="s">
        <v>198</v>
      </c>
      <c r="AG51" s="101"/>
      <c r="AH51" s="102"/>
      <c r="AI51" s="112"/>
      <c r="AJ51" s="102"/>
      <c r="AK51" s="112"/>
      <c r="AL51" s="102"/>
      <c r="AM51" s="112"/>
      <c r="AN51" s="102"/>
      <c r="AO51" s="113" t="s">
        <v>205</v>
      </c>
      <c r="AP51" s="101"/>
      <c r="AQ51" s="101"/>
      <c r="AR51" s="101"/>
      <c r="AS51" s="102"/>
      <c r="AT51" s="116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2"/>
    </row>
    <row r="52" spans="1:57" ht="21" customHeight="1">
      <c r="A52" s="1"/>
      <c r="B52" s="114">
        <f t="shared" si="0"/>
        <v>47</v>
      </c>
      <c r="C52" s="101"/>
      <c r="D52" s="102"/>
      <c r="E52" s="113" t="s">
        <v>22</v>
      </c>
      <c r="F52" s="101"/>
      <c r="G52" s="101"/>
      <c r="H52" s="101"/>
      <c r="I52" s="101"/>
      <c r="J52" s="101"/>
      <c r="K52" s="101"/>
      <c r="L52" s="101"/>
      <c r="M52" s="102"/>
      <c r="N52" s="113" t="s">
        <v>204</v>
      </c>
      <c r="O52" s="101"/>
      <c r="P52" s="101"/>
      <c r="Q52" s="101"/>
      <c r="R52" s="101"/>
      <c r="S52" s="101"/>
      <c r="T52" s="101"/>
      <c r="U52" s="101"/>
      <c r="V52" s="102"/>
      <c r="W52" s="113" t="s">
        <v>585</v>
      </c>
      <c r="X52" s="101"/>
      <c r="Y52" s="101"/>
      <c r="Z52" s="101"/>
      <c r="AA52" s="101"/>
      <c r="AB52" s="102"/>
      <c r="AC52" s="113"/>
      <c r="AD52" s="101"/>
      <c r="AE52" s="102"/>
      <c r="AF52" s="112" t="s">
        <v>198</v>
      </c>
      <c r="AG52" s="101"/>
      <c r="AH52" s="102"/>
      <c r="AI52" s="112"/>
      <c r="AJ52" s="102"/>
      <c r="AK52" s="112"/>
      <c r="AL52" s="102"/>
      <c r="AM52" s="112"/>
      <c r="AN52" s="102"/>
      <c r="AO52" s="113" t="s">
        <v>395</v>
      </c>
      <c r="AP52" s="101"/>
      <c r="AQ52" s="101"/>
      <c r="AR52" s="101"/>
      <c r="AS52" s="102"/>
      <c r="AT52" s="116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2"/>
    </row>
    <row r="53" spans="1:57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ht="21" customHeight="1">
      <c r="A54" s="1"/>
      <c r="B54" s="1" t="s">
        <v>206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ht="2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ht="21" customHeight="1"/>
    <row r="57" spans="1:57" ht="21" customHeight="1"/>
    <row r="58" spans="1:57" ht="21" customHeight="1"/>
    <row r="59" spans="1:57" ht="21" customHeight="1"/>
    <row r="60" spans="1:57" ht="21" customHeight="1"/>
    <row r="61" spans="1:57" ht="21" customHeight="1"/>
    <row r="62" spans="1:57" ht="21" customHeight="1"/>
    <row r="63" spans="1:57" ht="21" customHeight="1"/>
    <row r="64" spans="1:57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28"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2:AL12"/>
    <mergeCell ref="AM12:AN12"/>
    <mergeCell ref="AK50:AL50"/>
    <mergeCell ref="AM50:AN50"/>
    <mergeCell ref="AO50:AS50"/>
    <mergeCell ref="AT50:BE50"/>
    <mergeCell ref="B50:D50"/>
    <mergeCell ref="E50:M50"/>
    <mergeCell ref="N50:V50"/>
    <mergeCell ref="W50:AB50"/>
    <mergeCell ref="AC50:AE50"/>
    <mergeCell ref="AF50:AH50"/>
    <mergeCell ref="AI50:AJ50"/>
    <mergeCell ref="AK49:AL49"/>
    <mergeCell ref="AM49:AN49"/>
    <mergeCell ref="AO49:AS49"/>
    <mergeCell ref="AT49:BE49"/>
    <mergeCell ref="B49:D49"/>
    <mergeCell ref="E49:M49"/>
    <mergeCell ref="N49:V49"/>
    <mergeCell ref="W49:AB49"/>
    <mergeCell ref="AC49:AE49"/>
    <mergeCell ref="AF49:AH49"/>
    <mergeCell ref="AI49:AJ49"/>
    <mergeCell ref="AK48:AL48"/>
    <mergeCell ref="AM48:AN48"/>
    <mergeCell ref="AO48:AS48"/>
    <mergeCell ref="AT48:BE48"/>
    <mergeCell ref="B48:D48"/>
    <mergeCell ref="E48:M48"/>
    <mergeCell ref="N48:V48"/>
    <mergeCell ref="W48:AB48"/>
    <mergeCell ref="AC48:AE48"/>
    <mergeCell ref="AF48:AH48"/>
    <mergeCell ref="AI48:AJ48"/>
    <mergeCell ref="AK47:AL47"/>
    <mergeCell ref="AM47:AN47"/>
    <mergeCell ref="AO47:AS47"/>
    <mergeCell ref="AT47:BE47"/>
    <mergeCell ref="B47:D47"/>
    <mergeCell ref="E47:M47"/>
    <mergeCell ref="N47:V47"/>
    <mergeCell ref="W47:AB47"/>
    <mergeCell ref="AC47:AE47"/>
    <mergeCell ref="AF47:AH47"/>
    <mergeCell ref="AI47:AJ47"/>
    <mergeCell ref="AK46:AL46"/>
    <mergeCell ref="AM46:AN46"/>
    <mergeCell ref="AO46:AS46"/>
    <mergeCell ref="AT46:BE46"/>
    <mergeCell ref="B46:D46"/>
    <mergeCell ref="E46:M46"/>
    <mergeCell ref="N46:V46"/>
    <mergeCell ref="W46:AB46"/>
    <mergeCell ref="AC46:AE46"/>
    <mergeCell ref="AF46:AH46"/>
    <mergeCell ref="AI46:AJ46"/>
    <mergeCell ref="AK45:AL45"/>
    <mergeCell ref="AM45:AN45"/>
    <mergeCell ref="AO45:AS45"/>
    <mergeCell ref="AT45:BE45"/>
    <mergeCell ref="B45:D45"/>
    <mergeCell ref="E45:M45"/>
    <mergeCell ref="N45:V45"/>
    <mergeCell ref="W45:AB45"/>
    <mergeCell ref="AC45:AE45"/>
    <mergeCell ref="AF45:AH45"/>
    <mergeCell ref="AI45:AJ45"/>
    <mergeCell ref="AK44:AL44"/>
    <mergeCell ref="AM44:AN44"/>
    <mergeCell ref="AO44:AS44"/>
    <mergeCell ref="AT44:BE44"/>
    <mergeCell ref="B44:D44"/>
    <mergeCell ref="E44:M44"/>
    <mergeCell ref="N44:V44"/>
    <mergeCell ref="W44:AB44"/>
    <mergeCell ref="AC44:AE44"/>
    <mergeCell ref="AF44:AH44"/>
    <mergeCell ref="AI44:AJ44"/>
    <mergeCell ref="AK52:AL52"/>
    <mergeCell ref="AM52:AN52"/>
    <mergeCell ref="AO52:AS52"/>
    <mergeCell ref="AT52:BE52"/>
    <mergeCell ref="B52:D52"/>
    <mergeCell ref="E52:M52"/>
    <mergeCell ref="N52:V52"/>
    <mergeCell ref="W52:AB52"/>
    <mergeCell ref="AC52:AE52"/>
    <mergeCell ref="AF52:AH52"/>
    <mergeCell ref="AI52:AJ52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51:AL51"/>
    <mergeCell ref="AM51:AN51"/>
    <mergeCell ref="AO51:AS51"/>
    <mergeCell ref="AT51:BE51"/>
    <mergeCell ref="B51:D51"/>
    <mergeCell ref="E51:M51"/>
    <mergeCell ref="N51:V51"/>
    <mergeCell ref="W51:AB51"/>
    <mergeCell ref="AC51:AE51"/>
    <mergeCell ref="AF51:AH51"/>
    <mergeCell ref="AI51:AJ51"/>
    <mergeCell ref="AK43:AL43"/>
    <mergeCell ref="AM43:AN43"/>
    <mergeCell ref="AO43:AS43"/>
    <mergeCell ref="AT43:BE43"/>
    <mergeCell ref="B43:D43"/>
    <mergeCell ref="E43:M43"/>
    <mergeCell ref="N43:V43"/>
    <mergeCell ref="W43:AB43"/>
    <mergeCell ref="AC43:AE43"/>
    <mergeCell ref="AF43:AH43"/>
    <mergeCell ref="AI43:AJ43"/>
    <mergeCell ref="AK42:AL42"/>
    <mergeCell ref="AM42:AN42"/>
    <mergeCell ref="AO42:AS42"/>
    <mergeCell ref="AT42:BE42"/>
    <mergeCell ref="B42:D42"/>
    <mergeCell ref="E42:M42"/>
    <mergeCell ref="N42:V42"/>
    <mergeCell ref="W42:AB42"/>
    <mergeCell ref="AC42:AE42"/>
    <mergeCell ref="AF42:AH42"/>
    <mergeCell ref="AI42:AJ42"/>
    <mergeCell ref="AK41:AL41"/>
    <mergeCell ref="AM41:AN41"/>
    <mergeCell ref="AO41:AS41"/>
    <mergeCell ref="AT41:BE41"/>
    <mergeCell ref="B41:D41"/>
    <mergeCell ref="E41:M41"/>
    <mergeCell ref="N41:V41"/>
    <mergeCell ref="W41:AB41"/>
    <mergeCell ref="AC41:AE41"/>
    <mergeCell ref="AF41:AH41"/>
    <mergeCell ref="AI41:AJ41"/>
    <mergeCell ref="AK40:AL40"/>
    <mergeCell ref="AM40:AN40"/>
    <mergeCell ref="AO40:AS40"/>
    <mergeCell ref="AT40:BE40"/>
    <mergeCell ref="B40:D40"/>
    <mergeCell ref="E40:M40"/>
    <mergeCell ref="N40:V40"/>
    <mergeCell ref="W40:AB40"/>
    <mergeCell ref="AC40:AE40"/>
    <mergeCell ref="AF40:AH40"/>
    <mergeCell ref="AI40:AJ40"/>
    <mergeCell ref="AK39:AL39"/>
    <mergeCell ref="AM39:AN39"/>
    <mergeCell ref="AO39:AS39"/>
    <mergeCell ref="AT39:BE39"/>
    <mergeCell ref="B39:D39"/>
    <mergeCell ref="E39:M39"/>
    <mergeCell ref="N39:V39"/>
    <mergeCell ref="W39:AB39"/>
    <mergeCell ref="AC39:AE39"/>
    <mergeCell ref="AF39:AH39"/>
    <mergeCell ref="AI39:AJ39"/>
    <mergeCell ref="AK38:AL38"/>
    <mergeCell ref="AM38:AN38"/>
    <mergeCell ref="AO38:AS38"/>
    <mergeCell ref="AT38:BE38"/>
    <mergeCell ref="B38:D38"/>
    <mergeCell ref="E38:M38"/>
    <mergeCell ref="N38:V38"/>
    <mergeCell ref="W38:AB38"/>
    <mergeCell ref="AC38:AE38"/>
    <mergeCell ref="AF38:AH38"/>
    <mergeCell ref="AI38:AJ38"/>
    <mergeCell ref="AK37:AL37"/>
    <mergeCell ref="AM37:AN37"/>
    <mergeCell ref="AO37:AS37"/>
    <mergeCell ref="AT37:BE37"/>
    <mergeCell ref="B37:D37"/>
    <mergeCell ref="E37:M37"/>
    <mergeCell ref="N37:V37"/>
    <mergeCell ref="W37:AB37"/>
    <mergeCell ref="AC37:AE37"/>
    <mergeCell ref="AF37:AH37"/>
    <mergeCell ref="AI37:AJ37"/>
    <mergeCell ref="AK36:AL36"/>
    <mergeCell ref="AM36:AN36"/>
    <mergeCell ref="AO36:AS36"/>
    <mergeCell ref="AT36:BE36"/>
    <mergeCell ref="B36:D36"/>
    <mergeCell ref="E36:M36"/>
    <mergeCell ref="N36:V36"/>
    <mergeCell ref="W36:AB36"/>
    <mergeCell ref="AC36:AE36"/>
    <mergeCell ref="AF36:AH36"/>
    <mergeCell ref="AI36:AJ36"/>
    <mergeCell ref="AK35:AL35"/>
    <mergeCell ref="AM35:AN35"/>
    <mergeCell ref="AO35:AS35"/>
    <mergeCell ref="AT35:BE35"/>
    <mergeCell ref="B35:D35"/>
    <mergeCell ref="E35:M35"/>
    <mergeCell ref="N35:V35"/>
    <mergeCell ref="W35:AB35"/>
    <mergeCell ref="AC35:AE35"/>
    <mergeCell ref="AF35:AH35"/>
    <mergeCell ref="AI35:AJ35"/>
    <mergeCell ref="AK34:AL34"/>
    <mergeCell ref="AM34:AN34"/>
    <mergeCell ref="AO34:AS34"/>
    <mergeCell ref="AT34:BE34"/>
    <mergeCell ref="B34:D34"/>
    <mergeCell ref="E34:M34"/>
    <mergeCell ref="N34:V34"/>
    <mergeCell ref="W34:AB34"/>
    <mergeCell ref="AC34:AE34"/>
    <mergeCell ref="AF34:AH34"/>
    <mergeCell ref="AI34:AJ34"/>
    <mergeCell ref="AK33:AL33"/>
    <mergeCell ref="AM33:AN33"/>
    <mergeCell ref="AO33:AS33"/>
    <mergeCell ref="AT33:BE33"/>
    <mergeCell ref="B33:D33"/>
    <mergeCell ref="E33:M33"/>
    <mergeCell ref="N33:V33"/>
    <mergeCell ref="W33:AB33"/>
    <mergeCell ref="AC33:AE33"/>
    <mergeCell ref="AF33:AH33"/>
    <mergeCell ref="AI33:AJ33"/>
    <mergeCell ref="AK32:AL32"/>
    <mergeCell ref="AM32:AN32"/>
    <mergeCell ref="AO32:AS32"/>
    <mergeCell ref="AT32:BE32"/>
    <mergeCell ref="B32:D32"/>
    <mergeCell ref="E32:M32"/>
    <mergeCell ref="N32:V32"/>
    <mergeCell ref="W32:AB32"/>
    <mergeCell ref="AC32:AE32"/>
    <mergeCell ref="AF32:AH32"/>
    <mergeCell ref="AI32:AJ32"/>
    <mergeCell ref="AK31:AL31"/>
    <mergeCell ref="AM31:AN31"/>
    <mergeCell ref="AO31:AS31"/>
    <mergeCell ref="AT31:BE31"/>
    <mergeCell ref="B31:D31"/>
    <mergeCell ref="E31:M31"/>
    <mergeCell ref="N31:V31"/>
    <mergeCell ref="W31:AB31"/>
    <mergeCell ref="AC31:AE31"/>
    <mergeCell ref="AF31:AH31"/>
    <mergeCell ref="AI31:AJ31"/>
    <mergeCell ref="AK30:AL30"/>
    <mergeCell ref="AM30:AN30"/>
    <mergeCell ref="AO30:AS30"/>
    <mergeCell ref="AT30:BE30"/>
    <mergeCell ref="B30:D30"/>
    <mergeCell ref="E30:M30"/>
    <mergeCell ref="N30:V30"/>
    <mergeCell ref="W30:AB30"/>
    <mergeCell ref="AC30:AE30"/>
    <mergeCell ref="AF30:AH30"/>
    <mergeCell ref="AI30:AJ30"/>
    <mergeCell ref="AK29:AL29"/>
    <mergeCell ref="AM29:AN29"/>
    <mergeCell ref="AO29:AS29"/>
    <mergeCell ref="AT29:BE29"/>
    <mergeCell ref="B29:D29"/>
    <mergeCell ref="E29:M29"/>
    <mergeCell ref="N29:V29"/>
    <mergeCell ref="W29:AB29"/>
    <mergeCell ref="AC29:AE29"/>
    <mergeCell ref="AF29:AH29"/>
    <mergeCell ref="AI29:AJ29"/>
    <mergeCell ref="AK28:AL28"/>
    <mergeCell ref="AM28:AN28"/>
    <mergeCell ref="AO28:AS28"/>
    <mergeCell ref="AT28:BE28"/>
    <mergeCell ref="B28:D28"/>
    <mergeCell ref="E28:M28"/>
    <mergeCell ref="N28:V28"/>
    <mergeCell ref="W28:AB28"/>
    <mergeCell ref="AC28:AE28"/>
    <mergeCell ref="AF28:AH28"/>
    <mergeCell ref="AI28:AJ28"/>
    <mergeCell ref="AK27:AL27"/>
    <mergeCell ref="AM27:AN27"/>
    <mergeCell ref="AO27:AS27"/>
    <mergeCell ref="AT27:BE27"/>
    <mergeCell ref="B27:D27"/>
    <mergeCell ref="E27:M27"/>
    <mergeCell ref="N27:V27"/>
    <mergeCell ref="W27:AB27"/>
    <mergeCell ref="AC27:AE27"/>
    <mergeCell ref="AF27:AH27"/>
    <mergeCell ref="AI27:AJ27"/>
    <mergeCell ref="AK26:AL26"/>
    <mergeCell ref="AM26:AN26"/>
    <mergeCell ref="AO26:AS26"/>
    <mergeCell ref="AT26:BE26"/>
    <mergeCell ref="B26:D26"/>
    <mergeCell ref="E26:M26"/>
    <mergeCell ref="N26:V26"/>
    <mergeCell ref="W26:AB26"/>
    <mergeCell ref="AC26:AE26"/>
    <mergeCell ref="AF26:AH26"/>
    <mergeCell ref="AI26:AJ26"/>
    <mergeCell ref="AK25:AL25"/>
    <mergeCell ref="AM25:AN25"/>
    <mergeCell ref="AO25:AS25"/>
    <mergeCell ref="AT25:BE25"/>
    <mergeCell ref="B25:D25"/>
    <mergeCell ref="E25:M25"/>
    <mergeCell ref="N25:V25"/>
    <mergeCell ref="W25:AB25"/>
    <mergeCell ref="AC25:AE25"/>
    <mergeCell ref="AF25:AH25"/>
    <mergeCell ref="AI25:AJ25"/>
    <mergeCell ref="AK24:AL24"/>
    <mergeCell ref="AM24:AN24"/>
    <mergeCell ref="AO24:AS24"/>
    <mergeCell ref="AT24:BE24"/>
    <mergeCell ref="B24:D24"/>
    <mergeCell ref="E24:M24"/>
    <mergeCell ref="N24:V24"/>
    <mergeCell ref="W24:AB24"/>
    <mergeCell ref="AC24:AE24"/>
    <mergeCell ref="AF24:AH24"/>
    <mergeCell ref="AI24:AJ24"/>
    <mergeCell ref="AK23:AL23"/>
    <mergeCell ref="AM23:AN23"/>
    <mergeCell ref="AO23:AS23"/>
    <mergeCell ref="AT23:BE23"/>
    <mergeCell ref="B23:D23"/>
    <mergeCell ref="E23:M23"/>
    <mergeCell ref="N23:V23"/>
    <mergeCell ref="W23:AB23"/>
    <mergeCell ref="AC23:AE23"/>
    <mergeCell ref="AF23:AH23"/>
    <mergeCell ref="AI23:AJ23"/>
    <mergeCell ref="AK22:AL22"/>
    <mergeCell ref="AM22:AN22"/>
    <mergeCell ref="AO22:AS22"/>
    <mergeCell ref="AT22:BE22"/>
    <mergeCell ref="B22:D22"/>
    <mergeCell ref="E22:M22"/>
    <mergeCell ref="N22:V22"/>
    <mergeCell ref="W22:AB22"/>
    <mergeCell ref="AC22:AE22"/>
    <mergeCell ref="AF22:AH22"/>
    <mergeCell ref="AI22:AJ22"/>
    <mergeCell ref="AK21:AL21"/>
    <mergeCell ref="AM21:AN21"/>
    <mergeCell ref="AO21:AS21"/>
    <mergeCell ref="AT21:BE21"/>
    <mergeCell ref="B21:D21"/>
    <mergeCell ref="E21:M21"/>
    <mergeCell ref="N21:V21"/>
    <mergeCell ref="W21:AB21"/>
    <mergeCell ref="AC21:AE21"/>
    <mergeCell ref="AF21:AH21"/>
    <mergeCell ref="AI21:AJ21"/>
    <mergeCell ref="AK20:AL20"/>
    <mergeCell ref="AM20:AN20"/>
    <mergeCell ref="AO20:AS20"/>
    <mergeCell ref="AT20:BE20"/>
    <mergeCell ref="B20:D20"/>
    <mergeCell ref="E20:M20"/>
    <mergeCell ref="N20:V20"/>
    <mergeCell ref="W20:AB20"/>
    <mergeCell ref="AC20:AE20"/>
    <mergeCell ref="AF20:AH20"/>
    <mergeCell ref="AI20:AJ20"/>
    <mergeCell ref="AK19:AL19"/>
    <mergeCell ref="AM19:AN19"/>
    <mergeCell ref="AO19:AS19"/>
    <mergeCell ref="AT19:BE19"/>
    <mergeCell ref="B19:D19"/>
    <mergeCell ref="E19:M19"/>
    <mergeCell ref="N19:V19"/>
    <mergeCell ref="W19:AB19"/>
    <mergeCell ref="AC19:AE19"/>
    <mergeCell ref="AF19:AH19"/>
    <mergeCell ref="AI19:AJ19"/>
    <mergeCell ref="AK18:AL18"/>
    <mergeCell ref="AM18:AN18"/>
    <mergeCell ref="AO18:AS18"/>
    <mergeCell ref="AT18:BE18"/>
    <mergeCell ref="B18:D18"/>
    <mergeCell ref="E18:M18"/>
    <mergeCell ref="N18:V18"/>
    <mergeCell ref="W18:AB18"/>
    <mergeCell ref="AC18:AE18"/>
    <mergeCell ref="AF18:AH18"/>
    <mergeCell ref="AI18:AJ18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57" fitToHeight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760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253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939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761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311</v>
      </c>
      <c r="F6" s="101"/>
      <c r="G6" s="101"/>
      <c r="H6" s="101"/>
      <c r="I6" s="101"/>
      <c r="J6" s="101"/>
      <c r="K6" s="101"/>
      <c r="L6" s="101"/>
      <c r="M6" s="102"/>
      <c r="N6" s="113" t="s">
        <v>762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7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313</v>
      </c>
      <c r="F8" s="101"/>
      <c r="G8" s="101"/>
      <c r="H8" s="101"/>
      <c r="I8" s="101"/>
      <c r="J8" s="101"/>
      <c r="K8" s="101"/>
      <c r="L8" s="101"/>
      <c r="M8" s="102"/>
      <c r="N8" s="113" t="s">
        <v>606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848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950</v>
      </c>
      <c r="F9" s="101"/>
      <c r="G9" s="101"/>
      <c r="H9" s="101"/>
      <c r="I9" s="101"/>
      <c r="J9" s="101"/>
      <c r="K9" s="101"/>
      <c r="L9" s="101"/>
      <c r="M9" s="102"/>
      <c r="N9" s="113" t="s">
        <v>605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952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314</v>
      </c>
      <c r="F10" s="101"/>
      <c r="G10" s="101"/>
      <c r="H10" s="101"/>
      <c r="I10" s="101"/>
      <c r="J10" s="101"/>
      <c r="K10" s="101"/>
      <c r="L10" s="101"/>
      <c r="M10" s="102"/>
      <c r="N10" s="113" t="s">
        <v>690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315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951</v>
      </c>
      <c r="F11" s="101"/>
      <c r="G11" s="101"/>
      <c r="H11" s="101"/>
      <c r="I11" s="101"/>
      <c r="J11" s="101"/>
      <c r="K11" s="101"/>
      <c r="L11" s="101"/>
      <c r="M11" s="102"/>
      <c r="N11" s="113" t="s">
        <v>691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316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317</v>
      </c>
      <c r="F12" s="101"/>
      <c r="G12" s="101"/>
      <c r="H12" s="101"/>
      <c r="I12" s="101"/>
      <c r="J12" s="101"/>
      <c r="K12" s="101"/>
      <c r="L12" s="101"/>
      <c r="M12" s="102"/>
      <c r="N12" s="113" t="s">
        <v>692</v>
      </c>
      <c r="O12" s="101"/>
      <c r="P12" s="101"/>
      <c r="Q12" s="101"/>
      <c r="R12" s="101"/>
      <c r="S12" s="101"/>
      <c r="T12" s="101"/>
      <c r="U12" s="101"/>
      <c r="V12" s="102"/>
      <c r="W12" s="113" t="s">
        <v>583</v>
      </c>
      <c r="X12" s="101"/>
      <c r="Y12" s="101"/>
      <c r="Z12" s="101"/>
      <c r="AA12" s="101"/>
      <c r="AB12" s="102"/>
      <c r="AC12" s="113" t="s">
        <v>228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316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7" t="s">
        <v>22</v>
      </c>
      <c r="F14" s="101"/>
      <c r="G14" s="101"/>
      <c r="H14" s="101"/>
      <c r="I14" s="101"/>
      <c r="J14" s="101"/>
      <c r="K14" s="101"/>
      <c r="L14" s="101"/>
      <c r="M14" s="102"/>
      <c r="N14" s="117" t="s">
        <v>204</v>
      </c>
      <c r="O14" s="101"/>
      <c r="P14" s="101"/>
      <c r="Q14" s="101"/>
      <c r="R14" s="101"/>
      <c r="S14" s="101"/>
      <c r="T14" s="101"/>
      <c r="U14" s="101"/>
      <c r="V14" s="102"/>
      <c r="W14" s="113" t="s">
        <v>578</v>
      </c>
      <c r="X14" s="101"/>
      <c r="Y14" s="101"/>
      <c r="Z14" s="101"/>
      <c r="AA14" s="101"/>
      <c r="AB14" s="102"/>
      <c r="AC14" s="113"/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8" t="s">
        <v>395</v>
      </c>
      <c r="AP14" s="119"/>
      <c r="AQ14" s="119"/>
      <c r="AR14" s="119"/>
      <c r="AS14" s="120"/>
      <c r="AT14" s="116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125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253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613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8" si="0">ROW()-5</f>
        <v>1</v>
      </c>
      <c r="C6" s="101"/>
      <c r="D6" s="102"/>
      <c r="E6" s="113" t="s">
        <v>615</v>
      </c>
      <c r="F6" s="101"/>
      <c r="G6" s="101"/>
      <c r="H6" s="101"/>
      <c r="I6" s="101"/>
      <c r="J6" s="101"/>
      <c r="K6" s="101"/>
      <c r="L6" s="101"/>
      <c r="M6" s="102"/>
      <c r="N6" s="113" t="s">
        <v>614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318</v>
      </c>
      <c r="F7" s="101"/>
      <c r="G7" s="101"/>
      <c r="H7" s="101"/>
      <c r="I7" s="101"/>
      <c r="J7" s="101"/>
      <c r="K7" s="101"/>
      <c r="L7" s="101"/>
      <c r="M7" s="102"/>
      <c r="N7" s="113" t="s">
        <v>319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 t="s">
        <v>201</v>
      </c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320</v>
      </c>
      <c r="F8" s="101"/>
      <c r="G8" s="101"/>
      <c r="H8" s="101"/>
      <c r="I8" s="101"/>
      <c r="J8" s="101"/>
      <c r="K8" s="101"/>
      <c r="L8" s="101"/>
      <c r="M8" s="102"/>
      <c r="N8" s="113" t="s">
        <v>321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 t="s">
        <v>201</v>
      </c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847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21" customHeight="1">
      <c r="A10" s="1"/>
      <c r="B10" s="1" t="s">
        <v>206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/>
    <row r="1000"/>
  </sheetData>
  <mergeCells count="44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1001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127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322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907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625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323</v>
      </c>
      <c r="F6" s="101"/>
      <c r="G6" s="101"/>
      <c r="H6" s="101"/>
      <c r="I6" s="101"/>
      <c r="J6" s="101"/>
      <c r="K6" s="101"/>
      <c r="L6" s="101"/>
      <c r="M6" s="102"/>
      <c r="N6" s="118" t="s">
        <v>626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8" t="s">
        <v>888</v>
      </c>
      <c r="F7" s="119"/>
      <c r="G7" s="119"/>
      <c r="H7" s="119"/>
      <c r="I7" s="119"/>
      <c r="J7" s="119"/>
      <c r="K7" s="119"/>
      <c r="L7" s="119"/>
      <c r="M7" s="120"/>
      <c r="N7" s="118" t="s">
        <v>656</v>
      </c>
      <c r="O7" s="119"/>
      <c r="P7" s="119"/>
      <c r="Q7" s="119"/>
      <c r="R7" s="119"/>
      <c r="S7" s="119"/>
      <c r="T7" s="119"/>
      <c r="U7" s="119"/>
      <c r="V7" s="120"/>
      <c r="W7" s="118" t="s">
        <v>577</v>
      </c>
      <c r="X7" s="119"/>
      <c r="Y7" s="119"/>
      <c r="Z7" s="119"/>
      <c r="AA7" s="119"/>
      <c r="AB7" s="120"/>
      <c r="AC7" s="118"/>
      <c r="AD7" s="119"/>
      <c r="AE7" s="120"/>
      <c r="AF7" s="128" t="s">
        <v>198</v>
      </c>
      <c r="AG7" s="119"/>
      <c r="AH7" s="120"/>
      <c r="AI7" s="128"/>
      <c r="AJ7" s="120"/>
      <c r="AK7" s="128"/>
      <c r="AL7" s="120"/>
      <c r="AM7" s="128" t="s">
        <v>890</v>
      </c>
      <c r="AN7" s="120"/>
      <c r="AO7" s="118"/>
      <c r="AP7" s="119"/>
      <c r="AQ7" s="119"/>
      <c r="AR7" s="119"/>
      <c r="AS7" s="120"/>
      <c r="AT7" s="118" t="s">
        <v>889</v>
      </c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0"/>
    </row>
    <row r="8" spans="1:57" ht="21" customHeight="1">
      <c r="A8" s="1"/>
      <c r="B8" s="114">
        <f t="shared" si="0"/>
        <v>3</v>
      </c>
      <c r="C8" s="101"/>
      <c r="D8" s="102"/>
      <c r="E8" s="113" t="s">
        <v>259</v>
      </c>
      <c r="F8" s="101"/>
      <c r="G8" s="101"/>
      <c r="H8" s="101"/>
      <c r="I8" s="101"/>
      <c r="J8" s="101"/>
      <c r="K8" s="101"/>
      <c r="L8" s="101"/>
      <c r="M8" s="102"/>
      <c r="N8" s="113" t="s">
        <v>678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890</v>
      </c>
      <c r="AN8" s="102"/>
      <c r="AO8" s="113"/>
      <c r="AP8" s="101"/>
      <c r="AQ8" s="101"/>
      <c r="AR8" s="101"/>
      <c r="AS8" s="102"/>
      <c r="AT8" s="11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202</v>
      </c>
      <c r="F9" s="101"/>
      <c r="G9" s="101"/>
      <c r="H9" s="101"/>
      <c r="I9" s="101"/>
      <c r="J9" s="101"/>
      <c r="K9" s="101"/>
      <c r="L9" s="101"/>
      <c r="M9" s="102"/>
      <c r="N9" s="113" t="s">
        <v>203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843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29" t="s">
        <v>324</v>
      </c>
      <c r="F10" s="101"/>
      <c r="G10" s="101"/>
      <c r="H10" s="101"/>
      <c r="I10" s="101"/>
      <c r="J10" s="101"/>
      <c r="K10" s="101"/>
      <c r="L10" s="101"/>
      <c r="M10" s="102"/>
      <c r="N10" s="113" t="s">
        <v>325</v>
      </c>
      <c r="O10" s="101"/>
      <c r="P10" s="101"/>
      <c r="Q10" s="101"/>
      <c r="R10" s="101"/>
      <c r="S10" s="101"/>
      <c r="T10" s="101"/>
      <c r="U10" s="101"/>
      <c r="V10" s="102"/>
      <c r="W10" s="113" t="s">
        <v>816</v>
      </c>
      <c r="X10" s="101"/>
      <c r="Y10" s="101"/>
      <c r="Z10" s="101"/>
      <c r="AA10" s="101"/>
      <c r="AB10" s="102"/>
      <c r="AC10" s="113" t="s">
        <v>602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817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326</v>
      </c>
      <c r="F11" s="101"/>
      <c r="G11" s="101"/>
      <c r="H11" s="101"/>
      <c r="I11" s="101"/>
      <c r="J11" s="101"/>
      <c r="K11" s="101"/>
      <c r="L11" s="101"/>
      <c r="M11" s="102"/>
      <c r="N11" s="113" t="s">
        <v>696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316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327</v>
      </c>
      <c r="F12" s="101"/>
      <c r="G12" s="101"/>
      <c r="H12" s="101"/>
      <c r="I12" s="101"/>
      <c r="J12" s="101"/>
      <c r="K12" s="101"/>
      <c r="L12" s="101"/>
      <c r="M12" s="102"/>
      <c r="N12" s="113" t="s">
        <v>616</v>
      </c>
      <c r="O12" s="101"/>
      <c r="P12" s="101"/>
      <c r="Q12" s="101"/>
      <c r="R12" s="101"/>
      <c r="S12" s="101"/>
      <c r="T12" s="101"/>
      <c r="U12" s="101"/>
      <c r="V12" s="102"/>
      <c r="W12" s="113" t="s">
        <v>593</v>
      </c>
      <c r="X12" s="101"/>
      <c r="Y12" s="101"/>
      <c r="Z12" s="101"/>
      <c r="AA12" s="101"/>
      <c r="AB12" s="102"/>
      <c r="AC12" s="113" t="s">
        <v>102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328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3" t="s">
        <v>22</v>
      </c>
      <c r="F14" s="101"/>
      <c r="G14" s="101"/>
      <c r="H14" s="101"/>
      <c r="I14" s="101"/>
      <c r="J14" s="101"/>
      <c r="K14" s="101"/>
      <c r="L14" s="101"/>
      <c r="M14" s="102"/>
      <c r="N14" s="113" t="s">
        <v>204</v>
      </c>
      <c r="O14" s="101"/>
      <c r="P14" s="101"/>
      <c r="Q14" s="101"/>
      <c r="R14" s="101"/>
      <c r="S14" s="101"/>
      <c r="T14" s="101"/>
      <c r="U14" s="101"/>
      <c r="V14" s="102"/>
      <c r="W14" s="113" t="s">
        <v>578</v>
      </c>
      <c r="X14" s="101"/>
      <c r="Y14" s="101"/>
      <c r="Z14" s="101"/>
      <c r="AA14" s="101"/>
      <c r="AB14" s="102"/>
      <c r="AC14" s="113"/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 t="s">
        <v>905</v>
      </c>
      <c r="AP14" s="101"/>
      <c r="AQ14" s="101"/>
      <c r="AR14" s="101"/>
      <c r="AS14" s="102"/>
      <c r="AT14" s="116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0">
    <mergeCell ref="AT7:BE7"/>
    <mergeCell ref="AF7:AH7"/>
    <mergeCell ref="AI7:AJ7"/>
    <mergeCell ref="AK7:AL7"/>
    <mergeCell ref="AM7:AN7"/>
    <mergeCell ref="AO7:AS7"/>
    <mergeCell ref="B7:D7"/>
    <mergeCell ref="E7:M7"/>
    <mergeCell ref="N7:V7"/>
    <mergeCell ref="W7:AB7"/>
    <mergeCell ref="AC7:AE7"/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D781-7EBA-49B5-AD53-1FE8843F88EE}">
  <sheetPr>
    <pageSetUpPr fitToPage="1"/>
  </sheetPr>
  <dimension ref="A1:BE1001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891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887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939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892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658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30">
        <f t="shared" ref="B6:B14" si="0">ROW()-5</f>
        <v>1</v>
      </c>
      <c r="C6" s="119"/>
      <c r="D6" s="120"/>
      <c r="E6" s="118" t="s">
        <v>894</v>
      </c>
      <c r="F6" s="119"/>
      <c r="G6" s="119"/>
      <c r="H6" s="119"/>
      <c r="I6" s="119"/>
      <c r="J6" s="119"/>
      <c r="K6" s="119"/>
      <c r="L6" s="119"/>
      <c r="M6" s="120"/>
      <c r="N6" s="118" t="s">
        <v>893</v>
      </c>
      <c r="O6" s="119"/>
      <c r="P6" s="119"/>
      <c r="Q6" s="119"/>
      <c r="R6" s="119"/>
      <c r="S6" s="119"/>
      <c r="T6" s="119"/>
      <c r="U6" s="119"/>
      <c r="V6" s="120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21" customHeight="1">
      <c r="A7" s="1"/>
      <c r="B7" s="130">
        <f t="shared" si="0"/>
        <v>2</v>
      </c>
      <c r="C7" s="119"/>
      <c r="D7" s="120"/>
      <c r="E7" s="118" t="s">
        <v>888</v>
      </c>
      <c r="F7" s="119"/>
      <c r="G7" s="119"/>
      <c r="H7" s="119"/>
      <c r="I7" s="119"/>
      <c r="J7" s="119"/>
      <c r="K7" s="119"/>
      <c r="L7" s="119"/>
      <c r="M7" s="120"/>
      <c r="N7" s="118" t="s">
        <v>656</v>
      </c>
      <c r="O7" s="119"/>
      <c r="P7" s="119"/>
      <c r="Q7" s="119"/>
      <c r="R7" s="119"/>
      <c r="S7" s="119"/>
      <c r="T7" s="119"/>
      <c r="U7" s="119"/>
      <c r="V7" s="120"/>
      <c r="W7" s="118" t="s">
        <v>577</v>
      </c>
      <c r="X7" s="119"/>
      <c r="Y7" s="119"/>
      <c r="Z7" s="119"/>
      <c r="AA7" s="119"/>
      <c r="AB7" s="120"/>
      <c r="AC7" s="118"/>
      <c r="AD7" s="119"/>
      <c r="AE7" s="120"/>
      <c r="AF7" s="128" t="s">
        <v>198</v>
      </c>
      <c r="AG7" s="119"/>
      <c r="AH7" s="120"/>
      <c r="AI7" s="128"/>
      <c r="AJ7" s="120"/>
      <c r="AK7" s="128"/>
      <c r="AL7" s="120"/>
      <c r="AM7" s="128" t="s">
        <v>890</v>
      </c>
      <c r="AN7" s="120"/>
      <c r="AO7" s="118"/>
      <c r="AP7" s="119"/>
      <c r="AQ7" s="119"/>
      <c r="AR7" s="119"/>
      <c r="AS7" s="120"/>
      <c r="AT7" s="118" t="s">
        <v>889</v>
      </c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0"/>
    </row>
    <row r="8" spans="1:57" ht="21" customHeight="1">
      <c r="A8" s="1"/>
      <c r="B8" s="130">
        <f t="shared" si="0"/>
        <v>3</v>
      </c>
      <c r="C8" s="119"/>
      <c r="D8" s="120"/>
      <c r="E8" s="118" t="s">
        <v>895</v>
      </c>
      <c r="F8" s="119"/>
      <c r="G8" s="119"/>
      <c r="H8" s="119"/>
      <c r="I8" s="119"/>
      <c r="J8" s="119"/>
      <c r="K8" s="119"/>
      <c r="L8" s="119"/>
      <c r="M8" s="120"/>
      <c r="N8" s="118" t="s">
        <v>678</v>
      </c>
      <c r="O8" s="119"/>
      <c r="P8" s="119"/>
      <c r="Q8" s="119"/>
      <c r="R8" s="119"/>
      <c r="S8" s="119"/>
      <c r="T8" s="119"/>
      <c r="U8" s="119"/>
      <c r="V8" s="120"/>
      <c r="W8" s="118" t="s">
        <v>577</v>
      </c>
      <c r="X8" s="119"/>
      <c r="Y8" s="119"/>
      <c r="Z8" s="119"/>
      <c r="AA8" s="119"/>
      <c r="AB8" s="120"/>
      <c r="AC8" s="118"/>
      <c r="AD8" s="119"/>
      <c r="AE8" s="120"/>
      <c r="AF8" s="128" t="s">
        <v>198</v>
      </c>
      <c r="AG8" s="119"/>
      <c r="AH8" s="120"/>
      <c r="AI8" s="128"/>
      <c r="AJ8" s="120"/>
      <c r="AK8" s="128"/>
      <c r="AL8" s="120"/>
      <c r="AM8" s="128" t="s">
        <v>890</v>
      </c>
      <c r="AN8" s="120"/>
      <c r="AO8" s="118"/>
      <c r="AP8" s="119"/>
      <c r="AQ8" s="119"/>
      <c r="AR8" s="119"/>
      <c r="AS8" s="120"/>
      <c r="AT8" s="118" t="s">
        <v>841</v>
      </c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0"/>
    </row>
    <row r="9" spans="1:57" ht="21" customHeight="1">
      <c r="A9" s="1"/>
      <c r="B9" s="130">
        <f t="shared" si="0"/>
        <v>4</v>
      </c>
      <c r="C9" s="119"/>
      <c r="D9" s="120"/>
      <c r="E9" s="118" t="s">
        <v>202</v>
      </c>
      <c r="F9" s="119"/>
      <c r="G9" s="119"/>
      <c r="H9" s="119"/>
      <c r="I9" s="119"/>
      <c r="J9" s="119"/>
      <c r="K9" s="119"/>
      <c r="L9" s="119"/>
      <c r="M9" s="120"/>
      <c r="N9" s="118" t="s">
        <v>203</v>
      </c>
      <c r="O9" s="119"/>
      <c r="P9" s="119"/>
      <c r="Q9" s="119"/>
      <c r="R9" s="119"/>
      <c r="S9" s="119"/>
      <c r="T9" s="119"/>
      <c r="U9" s="119"/>
      <c r="V9" s="120"/>
      <c r="W9" s="118" t="s">
        <v>577</v>
      </c>
      <c r="X9" s="119"/>
      <c r="Y9" s="119"/>
      <c r="Z9" s="119"/>
      <c r="AA9" s="119"/>
      <c r="AB9" s="120"/>
      <c r="AC9" s="118"/>
      <c r="AD9" s="119"/>
      <c r="AE9" s="120"/>
      <c r="AF9" s="128" t="s">
        <v>198</v>
      </c>
      <c r="AG9" s="119"/>
      <c r="AH9" s="120"/>
      <c r="AI9" s="128"/>
      <c r="AJ9" s="120"/>
      <c r="AK9" s="128"/>
      <c r="AL9" s="120"/>
      <c r="AM9" s="128" t="s">
        <v>198</v>
      </c>
      <c r="AN9" s="120"/>
      <c r="AO9" s="118"/>
      <c r="AP9" s="119"/>
      <c r="AQ9" s="119"/>
      <c r="AR9" s="119"/>
      <c r="AS9" s="120"/>
      <c r="AT9" s="118" t="s">
        <v>843</v>
      </c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0"/>
    </row>
    <row r="10" spans="1:57" ht="21" customHeight="1">
      <c r="A10" s="1"/>
      <c r="B10" s="130">
        <f t="shared" si="0"/>
        <v>5</v>
      </c>
      <c r="C10" s="119"/>
      <c r="D10" s="120"/>
      <c r="E10" s="131" t="s">
        <v>324</v>
      </c>
      <c r="F10" s="119"/>
      <c r="G10" s="119"/>
      <c r="H10" s="119"/>
      <c r="I10" s="119"/>
      <c r="J10" s="119"/>
      <c r="K10" s="119"/>
      <c r="L10" s="119"/>
      <c r="M10" s="120"/>
      <c r="N10" s="118" t="s">
        <v>325</v>
      </c>
      <c r="O10" s="119"/>
      <c r="P10" s="119"/>
      <c r="Q10" s="119"/>
      <c r="R10" s="119"/>
      <c r="S10" s="119"/>
      <c r="T10" s="119"/>
      <c r="U10" s="119"/>
      <c r="V10" s="120"/>
      <c r="W10" s="118" t="s">
        <v>816</v>
      </c>
      <c r="X10" s="119"/>
      <c r="Y10" s="119"/>
      <c r="Z10" s="119"/>
      <c r="AA10" s="119"/>
      <c r="AB10" s="120"/>
      <c r="AC10" s="118" t="s">
        <v>602</v>
      </c>
      <c r="AD10" s="119"/>
      <c r="AE10" s="120"/>
      <c r="AF10" s="128" t="s">
        <v>198</v>
      </c>
      <c r="AG10" s="119"/>
      <c r="AH10" s="120"/>
      <c r="AI10" s="128"/>
      <c r="AJ10" s="120"/>
      <c r="AK10" s="128"/>
      <c r="AL10" s="120"/>
      <c r="AM10" s="128"/>
      <c r="AN10" s="120"/>
      <c r="AO10" s="118"/>
      <c r="AP10" s="119"/>
      <c r="AQ10" s="119"/>
      <c r="AR10" s="119"/>
      <c r="AS10" s="120"/>
      <c r="AT10" s="118" t="s">
        <v>817</v>
      </c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0"/>
    </row>
    <row r="11" spans="1:57" ht="21" customHeight="1">
      <c r="A11" s="1"/>
      <c r="B11" s="130">
        <f t="shared" si="0"/>
        <v>6</v>
      </c>
      <c r="C11" s="119"/>
      <c r="D11" s="120"/>
      <c r="E11" s="130" t="s">
        <v>896</v>
      </c>
      <c r="F11" s="119"/>
      <c r="G11" s="119"/>
      <c r="H11" s="119"/>
      <c r="I11" s="119"/>
      <c r="J11" s="119"/>
      <c r="K11" s="119"/>
      <c r="L11" s="119"/>
      <c r="M11" s="120"/>
      <c r="N11" s="118" t="s">
        <v>897</v>
      </c>
      <c r="O11" s="119"/>
      <c r="P11" s="119"/>
      <c r="Q11" s="119"/>
      <c r="R11" s="119"/>
      <c r="S11" s="119"/>
      <c r="T11" s="119"/>
      <c r="U11" s="119"/>
      <c r="V11" s="120"/>
      <c r="W11" s="118" t="s">
        <v>583</v>
      </c>
      <c r="X11" s="119"/>
      <c r="Y11" s="119"/>
      <c r="Z11" s="119"/>
      <c r="AA11" s="119"/>
      <c r="AB11" s="120"/>
      <c r="AC11" s="118" t="s">
        <v>228</v>
      </c>
      <c r="AD11" s="119"/>
      <c r="AE11" s="120"/>
      <c r="AF11" s="128" t="s">
        <v>198</v>
      </c>
      <c r="AG11" s="119"/>
      <c r="AH11" s="120"/>
      <c r="AI11" s="128"/>
      <c r="AJ11" s="120"/>
      <c r="AK11" s="128"/>
      <c r="AL11" s="120"/>
      <c r="AM11" s="128"/>
      <c r="AN11" s="120"/>
      <c r="AO11" s="118"/>
      <c r="AP11" s="119"/>
      <c r="AQ11" s="119"/>
      <c r="AR11" s="119"/>
      <c r="AS11" s="120"/>
      <c r="AT11" s="118" t="s">
        <v>316</v>
      </c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0"/>
    </row>
    <row r="12" spans="1:57" ht="21" customHeight="1">
      <c r="A12" s="1"/>
      <c r="B12" s="114">
        <f t="shared" si="0"/>
        <v>7</v>
      </c>
      <c r="C12" s="101"/>
      <c r="D12" s="102"/>
      <c r="E12" s="114" t="s">
        <v>327</v>
      </c>
      <c r="F12" s="101"/>
      <c r="G12" s="101"/>
      <c r="H12" s="101"/>
      <c r="I12" s="101"/>
      <c r="J12" s="101"/>
      <c r="K12" s="101"/>
      <c r="L12" s="101"/>
      <c r="M12" s="102"/>
      <c r="N12" s="113" t="s">
        <v>616</v>
      </c>
      <c r="O12" s="101"/>
      <c r="P12" s="101"/>
      <c r="Q12" s="101"/>
      <c r="R12" s="101"/>
      <c r="S12" s="101"/>
      <c r="T12" s="101"/>
      <c r="U12" s="101"/>
      <c r="V12" s="102"/>
      <c r="W12" s="113" t="s">
        <v>593</v>
      </c>
      <c r="X12" s="101"/>
      <c r="Y12" s="101"/>
      <c r="Z12" s="101"/>
      <c r="AA12" s="101"/>
      <c r="AB12" s="102"/>
      <c r="AC12" s="113" t="s">
        <v>102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328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30">
        <f t="shared" si="0"/>
        <v>8</v>
      </c>
      <c r="C13" s="119"/>
      <c r="D13" s="120"/>
      <c r="E13" s="118" t="s">
        <v>4</v>
      </c>
      <c r="F13" s="119"/>
      <c r="G13" s="119"/>
      <c r="H13" s="119"/>
      <c r="I13" s="119"/>
      <c r="J13" s="119"/>
      <c r="K13" s="119"/>
      <c r="L13" s="119"/>
      <c r="M13" s="120"/>
      <c r="N13" s="118" t="s">
        <v>238</v>
      </c>
      <c r="O13" s="119"/>
      <c r="P13" s="119"/>
      <c r="Q13" s="119"/>
      <c r="R13" s="119"/>
      <c r="S13" s="119"/>
      <c r="T13" s="119"/>
      <c r="U13" s="119"/>
      <c r="V13" s="120"/>
      <c r="W13" s="118" t="s">
        <v>578</v>
      </c>
      <c r="X13" s="119"/>
      <c r="Y13" s="119"/>
      <c r="Z13" s="119"/>
      <c r="AA13" s="119"/>
      <c r="AB13" s="120"/>
      <c r="AC13" s="118"/>
      <c r="AD13" s="119"/>
      <c r="AE13" s="120"/>
      <c r="AF13" s="128" t="s">
        <v>198</v>
      </c>
      <c r="AG13" s="119"/>
      <c r="AH13" s="120"/>
      <c r="AI13" s="128"/>
      <c r="AJ13" s="120"/>
      <c r="AK13" s="128"/>
      <c r="AL13" s="120"/>
      <c r="AM13" s="128"/>
      <c r="AN13" s="120"/>
      <c r="AO13" s="118" t="s">
        <v>205</v>
      </c>
      <c r="AP13" s="119"/>
      <c r="AQ13" s="119"/>
      <c r="AR13" s="119"/>
      <c r="AS13" s="120"/>
      <c r="AT13" s="127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0"/>
    </row>
    <row r="14" spans="1:57" ht="21" customHeight="1">
      <c r="A14" s="1"/>
      <c r="B14" s="130">
        <f t="shared" si="0"/>
        <v>9</v>
      </c>
      <c r="C14" s="119"/>
      <c r="D14" s="120"/>
      <c r="E14" s="118" t="s">
        <v>22</v>
      </c>
      <c r="F14" s="119"/>
      <c r="G14" s="119"/>
      <c r="H14" s="119"/>
      <c r="I14" s="119"/>
      <c r="J14" s="119"/>
      <c r="K14" s="119"/>
      <c r="L14" s="119"/>
      <c r="M14" s="120"/>
      <c r="N14" s="118" t="s">
        <v>204</v>
      </c>
      <c r="O14" s="119"/>
      <c r="P14" s="119"/>
      <c r="Q14" s="119"/>
      <c r="R14" s="119"/>
      <c r="S14" s="119"/>
      <c r="T14" s="119"/>
      <c r="U14" s="119"/>
      <c r="V14" s="120"/>
      <c r="W14" s="118" t="s">
        <v>578</v>
      </c>
      <c r="X14" s="119"/>
      <c r="Y14" s="119"/>
      <c r="Z14" s="119"/>
      <c r="AA14" s="119"/>
      <c r="AB14" s="120"/>
      <c r="AC14" s="118"/>
      <c r="AD14" s="119"/>
      <c r="AE14" s="120"/>
      <c r="AF14" s="128" t="s">
        <v>198</v>
      </c>
      <c r="AG14" s="119"/>
      <c r="AH14" s="120"/>
      <c r="AI14" s="128"/>
      <c r="AJ14" s="120"/>
      <c r="AK14" s="128"/>
      <c r="AL14" s="120"/>
      <c r="AM14" s="128"/>
      <c r="AN14" s="120"/>
      <c r="AO14" s="113" t="s">
        <v>905</v>
      </c>
      <c r="AP14" s="101"/>
      <c r="AQ14" s="101"/>
      <c r="AR14" s="101"/>
      <c r="AS14" s="102"/>
      <c r="AT14" s="127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0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0">
    <mergeCell ref="AO11:AS11"/>
    <mergeCell ref="AT11:BE11"/>
    <mergeCell ref="AF13:AH13"/>
    <mergeCell ref="B14:D14"/>
    <mergeCell ref="E14:M14"/>
    <mergeCell ref="N14:V14"/>
    <mergeCell ref="W14:AB14"/>
    <mergeCell ref="AC14:AE14"/>
    <mergeCell ref="B13:D13"/>
    <mergeCell ref="E13:M13"/>
    <mergeCell ref="N13:V13"/>
    <mergeCell ref="W13:AB13"/>
    <mergeCell ref="AC13:AE13"/>
    <mergeCell ref="AT14:BE14"/>
    <mergeCell ref="AI13:AJ13"/>
    <mergeCell ref="AK13:AL13"/>
    <mergeCell ref="AM13:AN13"/>
    <mergeCell ref="AO13:AS13"/>
    <mergeCell ref="AT13:BE13"/>
    <mergeCell ref="AF14:AH14"/>
    <mergeCell ref="AI14:AJ14"/>
    <mergeCell ref="AK14:AL14"/>
    <mergeCell ref="AM14:AN14"/>
    <mergeCell ref="AO14:AS14"/>
    <mergeCell ref="AF11:AH11"/>
    <mergeCell ref="B11:D11"/>
    <mergeCell ref="E11:M11"/>
    <mergeCell ref="N11:V11"/>
    <mergeCell ref="W11:AB11"/>
    <mergeCell ref="AC11:AE11"/>
    <mergeCell ref="AI11:AJ11"/>
    <mergeCell ref="AK11:AL11"/>
    <mergeCell ref="AM11:AN11"/>
    <mergeCell ref="AT10:BE10"/>
    <mergeCell ref="AI9:AJ9"/>
    <mergeCell ref="AK9:AL9"/>
    <mergeCell ref="AM9:AN9"/>
    <mergeCell ref="AO9:AS9"/>
    <mergeCell ref="AT9:BE9"/>
    <mergeCell ref="AF10:AH10"/>
    <mergeCell ref="AI10:AJ10"/>
    <mergeCell ref="AK10:AL10"/>
    <mergeCell ref="AM10:AN10"/>
    <mergeCell ref="AO10:AS10"/>
    <mergeCell ref="AF9:AH9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T8:BE8"/>
    <mergeCell ref="AI7:AJ7"/>
    <mergeCell ref="AK7:AL7"/>
    <mergeCell ref="AM7:AN7"/>
    <mergeCell ref="AO7:AS7"/>
    <mergeCell ref="AT7:BE7"/>
    <mergeCell ref="AF8:AH8"/>
    <mergeCell ref="AI8:AJ8"/>
    <mergeCell ref="AK8:AL8"/>
    <mergeCell ref="AM8:AN8"/>
    <mergeCell ref="AO8:AS8"/>
    <mergeCell ref="AF7:AH7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T6:BE6"/>
    <mergeCell ref="AI5:AJ5"/>
    <mergeCell ref="AK5:AL5"/>
    <mergeCell ref="AM5:AN5"/>
    <mergeCell ref="AO5:AS5"/>
    <mergeCell ref="AT5:BE5"/>
    <mergeCell ref="AF6:AH6"/>
    <mergeCell ref="AI6:AJ6"/>
    <mergeCell ref="AK6:AL6"/>
    <mergeCell ref="AM6:AN6"/>
    <mergeCell ref="AO6:AS6"/>
    <mergeCell ref="AF5:AH5"/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T12:BE12"/>
    <mergeCell ref="AF12:AH12"/>
    <mergeCell ref="AI12:AJ12"/>
    <mergeCell ref="AK12:AL12"/>
    <mergeCell ref="AM12:AN12"/>
    <mergeCell ref="AO12:AS12"/>
    <mergeCell ref="B12:D12"/>
    <mergeCell ref="E12:M12"/>
    <mergeCell ref="N12:V12"/>
    <mergeCell ref="W12:AB12"/>
    <mergeCell ref="AC12:AE12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129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322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617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9" si="0">ROW()-5</f>
        <v>1</v>
      </c>
      <c r="C6" s="101"/>
      <c r="D6" s="102"/>
      <c r="E6" s="113" t="s">
        <v>329</v>
      </c>
      <c r="F6" s="101"/>
      <c r="G6" s="101"/>
      <c r="H6" s="101"/>
      <c r="I6" s="101"/>
      <c r="J6" s="101"/>
      <c r="K6" s="101"/>
      <c r="L6" s="101"/>
      <c r="M6" s="102"/>
      <c r="N6" s="118" t="s">
        <v>627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324</v>
      </c>
      <c r="F7" s="101"/>
      <c r="G7" s="101"/>
      <c r="H7" s="101"/>
      <c r="I7" s="101"/>
      <c r="J7" s="101"/>
      <c r="K7" s="101"/>
      <c r="L7" s="101"/>
      <c r="M7" s="102"/>
      <c r="N7" s="113" t="s">
        <v>325</v>
      </c>
      <c r="O7" s="101"/>
      <c r="P7" s="101"/>
      <c r="Q7" s="101"/>
      <c r="R7" s="101"/>
      <c r="S7" s="101"/>
      <c r="T7" s="101"/>
      <c r="U7" s="101"/>
      <c r="V7" s="102"/>
      <c r="W7" s="113" t="s">
        <v>816</v>
      </c>
      <c r="X7" s="101"/>
      <c r="Y7" s="101"/>
      <c r="Z7" s="101"/>
      <c r="AA7" s="101"/>
      <c r="AB7" s="102"/>
      <c r="AC7" s="113" t="s">
        <v>602</v>
      </c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/>
      <c r="AN7" s="102"/>
      <c r="AO7" s="113"/>
      <c r="AP7" s="101"/>
      <c r="AQ7" s="101"/>
      <c r="AR7" s="101"/>
      <c r="AS7" s="102"/>
      <c r="AT7" s="113" t="s">
        <v>817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259</v>
      </c>
      <c r="F8" s="101"/>
      <c r="G8" s="101"/>
      <c r="H8" s="101"/>
      <c r="I8" s="101"/>
      <c r="J8" s="101"/>
      <c r="K8" s="101"/>
      <c r="L8" s="101"/>
      <c r="M8" s="102"/>
      <c r="N8" s="113" t="s">
        <v>678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202</v>
      </c>
      <c r="F9" s="101"/>
      <c r="G9" s="101"/>
      <c r="H9" s="101"/>
      <c r="I9" s="101"/>
      <c r="J9" s="101"/>
      <c r="K9" s="101"/>
      <c r="L9" s="101"/>
      <c r="M9" s="102"/>
      <c r="N9" s="113" t="s">
        <v>203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843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330</v>
      </c>
      <c r="F10" s="101"/>
      <c r="G10" s="101"/>
      <c r="H10" s="101"/>
      <c r="I10" s="101"/>
      <c r="J10" s="101"/>
      <c r="K10" s="101"/>
      <c r="L10" s="101"/>
      <c r="M10" s="102"/>
      <c r="N10" s="113" t="s">
        <v>694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331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332</v>
      </c>
      <c r="F11" s="101"/>
      <c r="G11" s="101"/>
      <c r="H11" s="101"/>
      <c r="I11" s="101"/>
      <c r="J11" s="101"/>
      <c r="K11" s="101"/>
      <c r="L11" s="101"/>
      <c r="M11" s="102"/>
      <c r="N11" s="113" t="s">
        <v>695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6" t="s">
        <v>333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334</v>
      </c>
      <c r="F12" s="101"/>
      <c r="G12" s="101"/>
      <c r="H12" s="101"/>
      <c r="I12" s="101"/>
      <c r="J12" s="101"/>
      <c r="K12" s="101"/>
      <c r="L12" s="101"/>
      <c r="M12" s="102"/>
      <c r="N12" s="113" t="s">
        <v>335</v>
      </c>
      <c r="O12" s="101"/>
      <c r="P12" s="101"/>
      <c r="Q12" s="101"/>
      <c r="R12" s="101"/>
      <c r="S12" s="101"/>
      <c r="T12" s="101"/>
      <c r="U12" s="101"/>
      <c r="V12" s="102"/>
      <c r="W12" s="113" t="s">
        <v>583</v>
      </c>
      <c r="X12" s="101"/>
      <c r="Y12" s="101"/>
      <c r="Z12" s="101"/>
      <c r="AA12" s="101"/>
      <c r="AB12" s="102"/>
      <c r="AC12" s="113" t="s">
        <v>228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336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4" t="s">
        <v>337</v>
      </c>
      <c r="F13" s="101"/>
      <c r="G13" s="101"/>
      <c r="H13" s="101"/>
      <c r="I13" s="101"/>
      <c r="J13" s="101"/>
      <c r="K13" s="101"/>
      <c r="L13" s="101"/>
      <c r="M13" s="102"/>
      <c r="N13" s="113" t="s">
        <v>338</v>
      </c>
      <c r="O13" s="101"/>
      <c r="P13" s="101"/>
      <c r="Q13" s="101"/>
      <c r="R13" s="101"/>
      <c r="S13" s="101"/>
      <c r="T13" s="101"/>
      <c r="U13" s="101"/>
      <c r="V13" s="102"/>
      <c r="W13" s="113" t="s">
        <v>583</v>
      </c>
      <c r="X13" s="101"/>
      <c r="Y13" s="101"/>
      <c r="Z13" s="101"/>
      <c r="AA13" s="101"/>
      <c r="AB13" s="102"/>
      <c r="AC13" s="113" t="s">
        <v>228</v>
      </c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16" t="s">
        <v>339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340</v>
      </c>
      <c r="F14" s="101"/>
      <c r="G14" s="101"/>
      <c r="H14" s="101"/>
      <c r="I14" s="101"/>
      <c r="J14" s="101"/>
      <c r="K14" s="101"/>
      <c r="L14" s="101"/>
      <c r="M14" s="102"/>
      <c r="N14" s="113" t="s">
        <v>605</v>
      </c>
      <c r="O14" s="101"/>
      <c r="P14" s="101"/>
      <c r="Q14" s="101"/>
      <c r="R14" s="101"/>
      <c r="S14" s="101"/>
      <c r="T14" s="101"/>
      <c r="U14" s="101"/>
      <c r="V14" s="102"/>
      <c r="W14" s="113" t="s">
        <v>583</v>
      </c>
      <c r="X14" s="101"/>
      <c r="Y14" s="101"/>
      <c r="Z14" s="101"/>
      <c r="AA14" s="101"/>
      <c r="AB14" s="102"/>
      <c r="AC14" s="113" t="s">
        <v>228</v>
      </c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3" t="s">
        <v>341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14">
        <f t="shared" si="0"/>
        <v>10</v>
      </c>
      <c r="C15" s="101"/>
      <c r="D15" s="102"/>
      <c r="E15" s="114" t="s">
        <v>342</v>
      </c>
      <c r="F15" s="101"/>
      <c r="G15" s="101"/>
      <c r="H15" s="101"/>
      <c r="I15" s="101"/>
      <c r="J15" s="101"/>
      <c r="K15" s="101"/>
      <c r="L15" s="101"/>
      <c r="M15" s="102"/>
      <c r="N15" s="113" t="s">
        <v>693</v>
      </c>
      <c r="O15" s="101"/>
      <c r="P15" s="101"/>
      <c r="Q15" s="101"/>
      <c r="R15" s="101"/>
      <c r="S15" s="101"/>
      <c r="T15" s="101"/>
      <c r="U15" s="101"/>
      <c r="V15" s="102"/>
      <c r="W15" s="113" t="s">
        <v>583</v>
      </c>
      <c r="X15" s="101"/>
      <c r="Y15" s="101"/>
      <c r="Z15" s="101"/>
      <c r="AA15" s="101"/>
      <c r="AB15" s="102"/>
      <c r="AC15" s="113" t="s">
        <v>228</v>
      </c>
      <c r="AD15" s="101"/>
      <c r="AE15" s="102"/>
      <c r="AF15" s="112" t="s">
        <v>198</v>
      </c>
      <c r="AG15" s="101"/>
      <c r="AH15" s="102"/>
      <c r="AI15" s="112"/>
      <c r="AJ15" s="102"/>
      <c r="AK15" s="112"/>
      <c r="AL15" s="102"/>
      <c r="AM15" s="112"/>
      <c r="AN15" s="102"/>
      <c r="AO15" s="113"/>
      <c r="AP15" s="101"/>
      <c r="AQ15" s="101"/>
      <c r="AR15" s="101"/>
      <c r="AS15" s="102"/>
      <c r="AT15" s="116" t="s">
        <v>343</v>
      </c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4" t="s">
        <v>344</v>
      </c>
      <c r="F16" s="101"/>
      <c r="G16" s="101"/>
      <c r="H16" s="101"/>
      <c r="I16" s="101"/>
      <c r="J16" s="101"/>
      <c r="K16" s="101"/>
      <c r="L16" s="101"/>
      <c r="M16" s="102"/>
      <c r="N16" s="113" t="s">
        <v>345</v>
      </c>
      <c r="O16" s="101"/>
      <c r="P16" s="101"/>
      <c r="Q16" s="101"/>
      <c r="R16" s="101"/>
      <c r="S16" s="101"/>
      <c r="T16" s="101"/>
      <c r="U16" s="101"/>
      <c r="V16" s="102"/>
      <c r="W16" s="118" t="s">
        <v>583</v>
      </c>
      <c r="X16" s="119"/>
      <c r="Y16" s="119"/>
      <c r="Z16" s="119"/>
      <c r="AA16" s="119"/>
      <c r="AB16" s="120"/>
      <c r="AC16" s="118" t="s">
        <v>228</v>
      </c>
      <c r="AD16" s="119"/>
      <c r="AE16" s="120"/>
      <c r="AF16" s="128" t="s">
        <v>198</v>
      </c>
      <c r="AG16" s="119"/>
      <c r="AH16" s="120"/>
      <c r="AI16" s="128"/>
      <c r="AJ16" s="120"/>
      <c r="AK16" s="128"/>
      <c r="AL16" s="120"/>
      <c r="AM16" s="128"/>
      <c r="AN16" s="120"/>
      <c r="AO16" s="118"/>
      <c r="AP16" s="119"/>
      <c r="AQ16" s="119"/>
      <c r="AR16" s="119"/>
      <c r="AS16" s="120"/>
      <c r="AT16" s="113" t="s">
        <v>346</v>
      </c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4" t="s">
        <v>347</v>
      </c>
      <c r="F17" s="101"/>
      <c r="G17" s="101"/>
      <c r="H17" s="101"/>
      <c r="I17" s="101"/>
      <c r="J17" s="101"/>
      <c r="K17" s="101"/>
      <c r="L17" s="101"/>
      <c r="M17" s="102"/>
      <c r="N17" s="113" t="s">
        <v>607</v>
      </c>
      <c r="O17" s="101"/>
      <c r="P17" s="101"/>
      <c r="Q17" s="101"/>
      <c r="R17" s="101"/>
      <c r="S17" s="101"/>
      <c r="T17" s="101"/>
      <c r="U17" s="101"/>
      <c r="V17" s="102"/>
      <c r="W17" s="118" t="s">
        <v>583</v>
      </c>
      <c r="X17" s="119"/>
      <c r="Y17" s="119"/>
      <c r="Z17" s="119"/>
      <c r="AA17" s="119"/>
      <c r="AB17" s="120"/>
      <c r="AC17" s="118" t="s">
        <v>228</v>
      </c>
      <c r="AD17" s="119"/>
      <c r="AE17" s="120"/>
      <c r="AF17" s="128" t="s">
        <v>198</v>
      </c>
      <c r="AG17" s="119"/>
      <c r="AH17" s="120"/>
      <c r="AI17" s="128"/>
      <c r="AJ17" s="120"/>
      <c r="AK17" s="128"/>
      <c r="AL17" s="120"/>
      <c r="AM17" s="128"/>
      <c r="AN17" s="120"/>
      <c r="AO17" s="118"/>
      <c r="AP17" s="119"/>
      <c r="AQ17" s="119"/>
      <c r="AR17" s="119"/>
      <c r="AS17" s="120"/>
      <c r="AT17" s="116" t="s">
        <v>348</v>
      </c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14">
        <f t="shared" si="0"/>
        <v>13</v>
      </c>
      <c r="C18" s="101"/>
      <c r="D18" s="102"/>
      <c r="E18" s="113" t="s">
        <v>4</v>
      </c>
      <c r="F18" s="101"/>
      <c r="G18" s="101"/>
      <c r="H18" s="101"/>
      <c r="I18" s="101"/>
      <c r="J18" s="101"/>
      <c r="K18" s="101"/>
      <c r="L18" s="101"/>
      <c r="M18" s="102"/>
      <c r="N18" s="113" t="s">
        <v>238</v>
      </c>
      <c r="O18" s="101"/>
      <c r="P18" s="101"/>
      <c r="Q18" s="101"/>
      <c r="R18" s="101"/>
      <c r="S18" s="101"/>
      <c r="T18" s="101"/>
      <c r="U18" s="101"/>
      <c r="V18" s="102"/>
      <c r="W18" s="118" t="s">
        <v>578</v>
      </c>
      <c r="X18" s="119"/>
      <c r="Y18" s="119"/>
      <c r="Z18" s="119"/>
      <c r="AA18" s="119"/>
      <c r="AB18" s="120"/>
      <c r="AC18" s="118"/>
      <c r="AD18" s="119"/>
      <c r="AE18" s="120"/>
      <c r="AF18" s="128" t="s">
        <v>198</v>
      </c>
      <c r="AG18" s="119"/>
      <c r="AH18" s="120"/>
      <c r="AI18" s="128"/>
      <c r="AJ18" s="120"/>
      <c r="AK18" s="128"/>
      <c r="AL18" s="120"/>
      <c r="AM18" s="128"/>
      <c r="AN18" s="120"/>
      <c r="AO18" s="118" t="s">
        <v>205</v>
      </c>
      <c r="AP18" s="119"/>
      <c r="AQ18" s="119"/>
      <c r="AR18" s="119"/>
      <c r="AS18" s="120"/>
      <c r="AT18" s="116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21" customHeight="1">
      <c r="A19" s="1"/>
      <c r="B19" s="114">
        <f t="shared" si="0"/>
        <v>14</v>
      </c>
      <c r="C19" s="101"/>
      <c r="D19" s="102"/>
      <c r="E19" s="113" t="s">
        <v>22</v>
      </c>
      <c r="F19" s="101"/>
      <c r="G19" s="101"/>
      <c r="H19" s="101"/>
      <c r="I19" s="101"/>
      <c r="J19" s="101"/>
      <c r="K19" s="101"/>
      <c r="L19" s="101"/>
      <c r="M19" s="102"/>
      <c r="N19" s="113" t="s">
        <v>204</v>
      </c>
      <c r="O19" s="101"/>
      <c r="P19" s="101"/>
      <c r="Q19" s="101"/>
      <c r="R19" s="101"/>
      <c r="S19" s="101"/>
      <c r="T19" s="101"/>
      <c r="U19" s="101"/>
      <c r="V19" s="102"/>
      <c r="W19" s="118" t="s">
        <v>578</v>
      </c>
      <c r="X19" s="119"/>
      <c r="Y19" s="119"/>
      <c r="Z19" s="119"/>
      <c r="AA19" s="119"/>
      <c r="AB19" s="120"/>
      <c r="AC19" s="118"/>
      <c r="AD19" s="119"/>
      <c r="AE19" s="120"/>
      <c r="AF19" s="128" t="s">
        <v>198</v>
      </c>
      <c r="AG19" s="119"/>
      <c r="AH19" s="120"/>
      <c r="AI19" s="128"/>
      <c r="AJ19" s="120"/>
      <c r="AK19" s="128"/>
      <c r="AL19" s="120"/>
      <c r="AM19" s="128"/>
      <c r="AN19" s="120"/>
      <c r="AO19" s="118" t="s">
        <v>395</v>
      </c>
      <c r="AP19" s="119"/>
      <c r="AQ19" s="119"/>
      <c r="AR19" s="119"/>
      <c r="AS19" s="120"/>
      <c r="AT19" s="116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ht="21" customHeight="1">
      <c r="A21" s="1"/>
      <c r="B21" s="1"/>
      <c r="C21" s="1"/>
      <c r="D21" s="1"/>
      <c r="E21" s="1" t="s">
        <v>349</v>
      </c>
      <c r="F21" s="1"/>
      <c r="G21" s="1"/>
      <c r="H21" s="1"/>
      <c r="I21" s="1"/>
      <c r="J21" s="1"/>
      <c r="K21" s="1"/>
      <c r="L21" s="1"/>
      <c r="M21" s="1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ht="21" customHeight="1">
      <c r="A22" s="1"/>
      <c r="B22" s="1"/>
      <c r="C22" s="1"/>
      <c r="D22" s="1"/>
      <c r="E22" s="1"/>
      <c r="F22" s="1" t="s">
        <v>350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ht="21" customHeight="1">
      <c r="A23" s="1"/>
      <c r="B23" s="1"/>
      <c r="C23" s="1"/>
      <c r="D23" s="1"/>
      <c r="E23" s="1" t="s">
        <v>351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ht="21" customHeight="1">
      <c r="A24" s="1"/>
      <c r="B24" s="1"/>
      <c r="C24" s="1"/>
      <c r="D24" s="1"/>
      <c r="E24" s="1"/>
      <c r="F24" s="1" t="s">
        <v>352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ht="21" customHeight="1">
      <c r="A25" s="1"/>
      <c r="B25" s="1"/>
      <c r="C25" s="1"/>
      <c r="D25" s="1"/>
      <c r="E25" s="1" t="s">
        <v>353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ht="21" customHeight="1">
      <c r="A26" s="1"/>
      <c r="B26" s="1"/>
      <c r="C26" s="1"/>
      <c r="D26" s="1"/>
      <c r="E26" s="1"/>
      <c r="F26" s="1" t="s">
        <v>354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ht="21" customHeight="1">
      <c r="A27" s="1"/>
      <c r="B27" s="1"/>
      <c r="C27" s="1"/>
      <c r="D27" s="1"/>
      <c r="E27" s="1" t="s">
        <v>355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ht="21" customHeight="1">
      <c r="A28" s="1"/>
      <c r="B28" s="1"/>
      <c r="C28" s="1"/>
      <c r="D28" s="1"/>
      <c r="E28" s="1"/>
      <c r="F28" s="1" t="s">
        <v>356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ht="21" customHeight="1">
      <c r="A29" s="1"/>
      <c r="B29" s="1"/>
      <c r="C29" s="1"/>
      <c r="D29" s="1"/>
      <c r="E29" s="1" t="s">
        <v>357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ht="21" customHeight="1">
      <c r="A30" s="1"/>
      <c r="B30" s="1"/>
      <c r="C30" s="1"/>
      <c r="D30" s="1"/>
      <c r="E30" s="1"/>
      <c r="F30" s="1" t="s">
        <v>358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ht="21" customHeight="1">
      <c r="A31" s="1"/>
      <c r="B31" s="1"/>
      <c r="C31" s="1"/>
      <c r="D31" s="1"/>
      <c r="E31" s="1" t="s">
        <v>359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ht="21" customHeight="1">
      <c r="A32" s="1"/>
      <c r="B32" s="1"/>
      <c r="C32" s="1"/>
      <c r="D32" s="1"/>
      <c r="E32" s="1"/>
      <c r="F32" s="1" t="s">
        <v>360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ht="21" customHeight="1">
      <c r="A33" s="1"/>
      <c r="B33" s="1"/>
      <c r="C33" s="1"/>
      <c r="D33" s="1"/>
      <c r="E33" s="1" t="s">
        <v>361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ht="21" customHeight="1">
      <c r="A34" s="1"/>
      <c r="B34" s="1"/>
      <c r="C34" s="1"/>
      <c r="D34" s="1"/>
      <c r="E34" s="1"/>
      <c r="F34" s="1" t="s">
        <v>362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ht="21" customHeight="1">
      <c r="A35" s="1"/>
      <c r="B35" s="1"/>
      <c r="C35" s="1"/>
      <c r="D35" s="1"/>
      <c r="E35" s="1"/>
      <c r="F35" s="1"/>
      <c r="G35" s="1" t="s">
        <v>363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ht="21" customHeight="1">
      <c r="A36" s="1"/>
      <c r="B36" s="1"/>
      <c r="C36" s="1"/>
      <c r="D36" s="1"/>
      <c r="E36" s="1" t="s">
        <v>364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ht="21" customHeight="1">
      <c r="A37" s="1"/>
      <c r="B37" s="1"/>
      <c r="C37" s="1"/>
      <c r="D37" s="1"/>
      <c r="E37" s="1"/>
      <c r="F37" s="1" t="s">
        <v>365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ht="21" customHeight="1">
      <c r="A38" s="1"/>
      <c r="B38" s="1"/>
      <c r="C38" s="1"/>
      <c r="D38" s="1"/>
      <c r="E38" s="1"/>
      <c r="F38" s="1"/>
      <c r="G38" s="1" t="s">
        <v>366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ht="2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ht="21" customHeight="1">
      <c r="A40" s="1"/>
      <c r="B40" s="1"/>
      <c r="C40" s="1"/>
      <c r="D40" s="1"/>
      <c r="E40" s="31" t="s">
        <v>367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ht="21" customHeight="1">
      <c r="A41" s="1"/>
      <c r="B41" s="1"/>
      <c r="C41" s="1"/>
      <c r="D41" s="1"/>
      <c r="E41" s="31" t="s">
        <v>368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ht="21" customHeight="1"/>
    <row r="44" spans="1:57" ht="21" customHeight="1"/>
    <row r="45" spans="1:57" ht="21" customHeight="1"/>
    <row r="46" spans="1:57" ht="21" customHeight="1"/>
    <row r="47" spans="1:57" ht="21" customHeight="1"/>
    <row r="48" spans="1:57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5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9:AL19"/>
    <mergeCell ref="AM19:AN19"/>
    <mergeCell ref="AO19:AS19"/>
    <mergeCell ref="AT19:BE19"/>
    <mergeCell ref="B19:D19"/>
    <mergeCell ref="E19:M19"/>
    <mergeCell ref="N19:V19"/>
    <mergeCell ref="W19:AB19"/>
    <mergeCell ref="AC19:AE19"/>
    <mergeCell ref="AF19:AH19"/>
    <mergeCell ref="AI19:AJ1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8:AL18"/>
    <mergeCell ref="AM18:AN18"/>
    <mergeCell ref="AO18:AS18"/>
    <mergeCell ref="AT18:BE18"/>
    <mergeCell ref="B18:D18"/>
    <mergeCell ref="E18:M18"/>
    <mergeCell ref="N18:V18"/>
    <mergeCell ref="W18:AB18"/>
    <mergeCell ref="AC18:AE18"/>
    <mergeCell ref="AF18:AH18"/>
    <mergeCell ref="AI18:AJ18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12"/>
  <pageMargins left="0.70866141732283472" right="0.70866141732283472" top="0.74803149606299213" bottom="0.74803149606299213" header="0" footer="0"/>
  <pageSetup paperSize="9" scale="70" fitToHeight="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131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322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628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8" si="0">ROW()-5</f>
        <v>1</v>
      </c>
      <c r="C6" s="101"/>
      <c r="D6" s="102"/>
      <c r="E6" s="113" t="s">
        <v>369</v>
      </c>
      <c r="F6" s="101"/>
      <c r="G6" s="101"/>
      <c r="H6" s="101"/>
      <c r="I6" s="101"/>
      <c r="J6" s="101"/>
      <c r="K6" s="101"/>
      <c r="L6" s="101"/>
      <c r="M6" s="102"/>
      <c r="N6" s="118" t="s">
        <v>629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324</v>
      </c>
      <c r="F7" s="101"/>
      <c r="G7" s="101"/>
      <c r="H7" s="101"/>
      <c r="I7" s="101"/>
      <c r="J7" s="101"/>
      <c r="K7" s="101"/>
      <c r="L7" s="101"/>
      <c r="M7" s="102"/>
      <c r="N7" s="113" t="s">
        <v>325</v>
      </c>
      <c r="O7" s="101"/>
      <c r="P7" s="101"/>
      <c r="Q7" s="101"/>
      <c r="R7" s="101"/>
      <c r="S7" s="101"/>
      <c r="T7" s="101"/>
      <c r="U7" s="101"/>
      <c r="V7" s="102"/>
      <c r="W7" s="113" t="s">
        <v>816</v>
      </c>
      <c r="X7" s="101"/>
      <c r="Y7" s="101"/>
      <c r="Z7" s="101"/>
      <c r="AA7" s="101"/>
      <c r="AB7" s="102"/>
      <c r="AC7" s="113" t="s">
        <v>602</v>
      </c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/>
      <c r="AN7" s="102"/>
      <c r="AO7" s="113"/>
      <c r="AP7" s="101"/>
      <c r="AQ7" s="101"/>
      <c r="AR7" s="101"/>
      <c r="AS7" s="102"/>
      <c r="AT7" s="113" t="s">
        <v>817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259</v>
      </c>
      <c r="F8" s="101"/>
      <c r="G8" s="101"/>
      <c r="H8" s="101"/>
      <c r="I8" s="101"/>
      <c r="J8" s="101"/>
      <c r="K8" s="101"/>
      <c r="L8" s="101"/>
      <c r="M8" s="102"/>
      <c r="N8" s="113" t="s">
        <v>678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330</v>
      </c>
      <c r="F9" s="101"/>
      <c r="G9" s="101"/>
      <c r="H9" s="101"/>
      <c r="I9" s="101"/>
      <c r="J9" s="101"/>
      <c r="K9" s="101"/>
      <c r="L9" s="101"/>
      <c r="M9" s="102"/>
      <c r="N9" s="113" t="s">
        <v>694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331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332</v>
      </c>
      <c r="F10" s="101"/>
      <c r="G10" s="101"/>
      <c r="H10" s="101"/>
      <c r="I10" s="101"/>
      <c r="J10" s="101"/>
      <c r="K10" s="101"/>
      <c r="L10" s="101"/>
      <c r="M10" s="102"/>
      <c r="N10" s="113" t="s">
        <v>695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6" t="s">
        <v>333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334</v>
      </c>
      <c r="F11" s="101"/>
      <c r="G11" s="101"/>
      <c r="H11" s="101"/>
      <c r="I11" s="101"/>
      <c r="J11" s="101"/>
      <c r="K11" s="101"/>
      <c r="L11" s="101"/>
      <c r="M11" s="102"/>
      <c r="N11" s="113" t="s">
        <v>335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336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337</v>
      </c>
      <c r="F12" s="101"/>
      <c r="G12" s="101"/>
      <c r="H12" s="101"/>
      <c r="I12" s="101"/>
      <c r="J12" s="101"/>
      <c r="K12" s="101"/>
      <c r="L12" s="101"/>
      <c r="M12" s="102"/>
      <c r="N12" s="113" t="s">
        <v>338</v>
      </c>
      <c r="O12" s="101"/>
      <c r="P12" s="101"/>
      <c r="Q12" s="101"/>
      <c r="R12" s="101"/>
      <c r="S12" s="101"/>
      <c r="T12" s="101"/>
      <c r="U12" s="101"/>
      <c r="V12" s="102"/>
      <c r="W12" s="113" t="s">
        <v>583</v>
      </c>
      <c r="X12" s="101"/>
      <c r="Y12" s="101"/>
      <c r="Z12" s="101"/>
      <c r="AA12" s="101"/>
      <c r="AB12" s="102"/>
      <c r="AC12" s="113" t="s">
        <v>228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6" t="s">
        <v>339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4" t="s">
        <v>340</v>
      </c>
      <c r="F13" s="101"/>
      <c r="G13" s="101"/>
      <c r="H13" s="101"/>
      <c r="I13" s="101"/>
      <c r="J13" s="101"/>
      <c r="K13" s="101"/>
      <c r="L13" s="101"/>
      <c r="M13" s="102"/>
      <c r="N13" s="113" t="s">
        <v>605</v>
      </c>
      <c r="O13" s="101"/>
      <c r="P13" s="101"/>
      <c r="Q13" s="101"/>
      <c r="R13" s="101"/>
      <c r="S13" s="101"/>
      <c r="T13" s="101"/>
      <c r="U13" s="101"/>
      <c r="V13" s="102"/>
      <c r="W13" s="113" t="s">
        <v>583</v>
      </c>
      <c r="X13" s="101"/>
      <c r="Y13" s="101"/>
      <c r="Z13" s="101"/>
      <c r="AA13" s="101"/>
      <c r="AB13" s="102"/>
      <c r="AC13" s="113" t="s">
        <v>228</v>
      </c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13" t="s">
        <v>341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342</v>
      </c>
      <c r="F14" s="101"/>
      <c r="G14" s="101"/>
      <c r="H14" s="101"/>
      <c r="I14" s="101"/>
      <c r="J14" s="101"/>
      <c r="K14" s="101"/>
      <c r="L14" s="101"/>
      <c r="M14" s="102"/>
      <c r="N14" s="113" t="s">
        <v>693</v>
      </c>
      <c r="O14" s="101"/>
      <c r="P14" s="101"/>
      <c r="Q14" s="101"/>
      <c r="R14" s="101"/>
      <c r="S14" s="101"/>
      <c r="T14" s="101"/>
      <c r="U14" s="101"/>
      <c r="V14" s="102"/>
      <c r="W14" s="113" t="s">
        <v>583</v>
      </c>
      <c r="X14" s="101"/>
      <c r="Y14" s="101"/>
      <c r="Z14" s="101"/>
      <c r="AA14" s="101"/>
      <c r="AB14" s="102"/>
      <c r="AC14" s="113" t="s">
        <v>228</v>
      </c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6" t="s">
        <v>343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14">
        <f t="shared" si="0"/>
        <v>10</v>
      </c>
      <c r="C15" s="101"/>
      <c r="D15" s="102"/>
      <c r="E15" s="114" t="s">
        <v>344</v>
      </c>
      <c r="F15" s="101"/>
      <c r="G15" s="101"/>
      <c r="H15" s="101"/>
      <c r="I15" s="101"/>
      <c r="J15" s="101"/>
      <c r="K15" s="101"/>
      <c r="L15" s="101"/>
      <c r="M15" s="102"/>
      <c r="N15" s="113" t="s">
        <v>345</v>
      </c>
      <c r="O15" s="101"/>
      <c r="P15" s="101"/>
      <c r="Q15" s="101"/>
      <c r="R15" s="101"/>
      <c r="S15" s="101"/>
      <c r="T15" s="101"/>
      <c r="U15" s="101"/>
      <c r="V15" s="102"/>
      <c r="W15" s="113" t="s">
        <v>583</v>
      </c>
      <c r="X15" s="101"/>
      <c r="Y15" s="101"/>
      <c r="Z15" s="101"/>
      <c r="AA15" s="101"/>
      <c r="AB15" s="102"/>
      <c r="AC15" s="113" t="s">
        <v>228</v>
      </c>
      <c r="AD15" s="101"/>
      <c r="AE15" s="102"/>
      <c r="AF15" s="112" t="s">
        <v>198</v>
      </c>
      <c r="AG15" s="101"/>
      <c r="AH15" s="102"/>
      <c r="AI15" s="112"/>
      <c r="AJ15" s="102"/>
      <c r="AK15" s="112"/>
      <c r="AL15" s="102"/>
      <c r="AM15" s="112"/>
      <c r="AN15" s="102"/>
      <c r="AO15" s="113"/>
      <c r="AP15" s="101"/>
      <c r="AQ15" s="101"/>
      <c r="AR15" s="101"/>
      <c r="AS15" s="102"/>
      <c r="AT15" s="113" t="s">
        <v>346</v>
      </c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4" t="s">
        <v>347</v>
      </c>
      <c r="F16" s="101"/>
      <c r="G16" s="101"/>
      <c r="H16" s="101"/>
      <c r="I16" s="101"/>
      <c r="J16" s="101"/>
      <c r="K16" s="101"/>
      <c r="L16" s="101"/>
      <c r="M16" s="102"/>
      <c r="N16" s="118" t="s">
        <v>607</v>
      </c>
      <c r="O16" s="119"/>
      <c r="P16" s="119"/>
      <c r="Q16" s="119"/>
      <c r="R16" s="119"/>
      <c r="S16" s="119"/>
      <c r="T16" s="119"/>
      <c r="U16" s="119"/>
      <c r="V16" s="120"/>
      <c r="W16" s="113" t="s">
        <v>583</v>
      </c>
      <c r="X16" s="101"/>
      <c r="Y16" s="101"/>
      <c r="Z16" s="101"/>
      <c r="AA16" s="101"/>
      <c r="AB16" s="102"/>
      <c r="AC16" s="113" t="s">
        <v>228</v>
      </c>
      <c r="AD16" s="101"/>
      <c r="AE16" s="102"/>
      <c r="AF16" s="112" t="s">
        <v>198</v>
      </c>
      <c r="AG16" s="101"/>
      <c r="AH16" s="102"/>
      <c r="AI16" s="112"/>
      <c r="AJ16" s="102"/>
      <c r="AK16" s="112"/>
      <c r="AL16" s="102"/>
      <c r="AM16" s="112"/>
      <c r="AN16" s="102"/>
      <c r="AO16" s="113"/>
      <c r="AP16" s="101"/>
      <c r="AQ16" s="101"/>
      <c r="AR16" s="101"/>
      <c r="AS16" s="102"/>
      <c r="AT16" s="116" t="s">
        <v>348</v>
      </c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3" t="s">
        <v>4</v>
      </c>
      <c r="F17" s="101"/>
      <c r="G17" s="101"/>
      <c r="H17" s="101"/>
      <c r="I17" s="101"/>
      <c r="J17" s="101"/>
      <c r="K17" s="101"/>
      <c r="L17" s="101"/>
      <c r="M17" s="102"/>
      <c r="N17" s="113" t="s">
        <v>238</v>
      </c>
      <c r="O17" s="101"/>
      <c r="P17" s="101"/>
      <c r="Q17" s="101"/>
      <c r="R17" s="101"/>
      <c r="S17" s="101"/>
      <c r="T17" s="101"/>
      <c r="U17" s="101"/>
      <c r="V17" s="102"/>
      <c r="W17" s="113" t="s">
        <v>578</v>
      </c>
      <c r="X17" s="101"/>
      <c r="Y17" s="101"/>
      <c r="Z17" s="101"/>
      <c r="AA17" s="101"/>
      <c r="AB17" s="102"/>
      <c r="AC17" s="113"/>
      <c r="AD17" s="101"/>
      <c r="AE17" s="102"/>
      <c r="AF17" s="112" t="s">
        <v>198</v>
      </c>
      <c r="AG17" s="101"/>
      <c r="AH17" s="102"/>
      <c r="AI17" s="112"/>
      <c r="AJ17" s="102"/>
      <c r="AK17" s="112"/>
      <c r="AL17" s="102"/>
      <c r="AM17" s="112"/>
      <c r="AN17" s="102"/>
      <c r="AO17" s="113" t="s">
        <v>205</v>
      </c>
      <c r="AP17" s="101"/>
      <c r="AQ17" s="101"/>
      <c r="AR17" s="101"/>
      <c r="AS17" s="102"/>
      <c r="AT17" s="116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14">
        <f t="shared" si="0"/>
        <v>13</v>
      </c>
      <c r="C18" s="101"/>
      <c r="D18" s="102"/>
      <c r="E18" s="113" t="s">
        <v>22</v>
      </c>
      <c r="F18" s="101"/>
      <c r="G18" s="101"/>
      <c r="H18" s="101"/>
      <c r="I18" s="101"/>
      <c r="J18" s="101"/>
      <c r="K18" s="101"/>
      <c r="L18" s="101"/>
      <c r="M18" s="102"/>
      <c r="N18" s="113" t="s">
        <v>204</v>
      </c>
      <c r="O18" s="101"/>
      <c r="P18" s="101"/>
      <c r="Q18" s="101"/>
      <c r="R18" s="101"/>
      <c r="S18" s="101"/>
      <c r="T18" s="101"/>
      <c r="U18" s="101"/>
      <c r="V18" s="102"/>
      <c r="W18" s="113" t="s">
        <v>578</v>
      </c>
      <c r="X18" s="101"/>
      <c r="Y18" s="101"/>
      <c r="Z18" s="101"/>
      <c r="AA18" s="101"/>
      <c r="AB18" s="102"/>
      <c r="AC18" s="113"/>
      <c r="AD18" s="101"/>
      <c r="AE18" s="102"/>
      <c r="AF18" s="112" t="s">
        <v>198</v>
      </c>
      <c r="AG18" s="101"/>
      <c r="AH18" s="102"/>
      <c r="AI18" s="112"/>
      <c r="AJ18" s="102"/>
      <c r="AK18" s="112"/>
      <c r="AL18" s="102"/>
      <c r="AM18" s="112"/>
      <c r="AN18" s="102"/>
      <c r="AO18" s="118" t="s">
        <v>395</v>
      </c>
      <c r="AP18" s="119"/>
      <c r="AQ18" s="119"/>
      <c r="AR18" s="119"/>
      <c r="AS18" s="120"/>
      <c r="AT18" s="116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ht="21" customHeight="1">
      <c r="A20" s="1"/>
      <c r="B20" s="1"/>
      <c r="C20" s="1"/>
      <c r="D20" s="1"/>
      <c r="E20" s="1" t="s">
        <v>349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ht="21" customHeight="1">
      <c r="A21" s="1"/>
      <c r="B21" s="1"/>
      <c r="C21" s="1"/>
      <c r="D21" s="1"/>
      <c r="E21" s="1"/>
      <c r="F21" s="1" t="s">
        <v>350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ht="21" customHeight="1">
      <c r="A22" s="1"/>
      <c r="B22" s="1"/>
      <c r="C22" s="1"/>
      <c r="D22" s="1"/>
      <c r="E22" s="1" t="s">
        <v>351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ht="21" customHeight="1">
      <c r="A23" s="1"/>
      <c r="B23" s="1"/>
      <c r="C23" s="1"/>
      <c r="D23" s="1"/>
      <c r="E23" s="1"/>
      <c r="F23" s="1" t="s">
        <v>352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ht="21" customHeight="1">
      <c r="A24" s="1"/>
      <c r="B24" s="1"/>
      <c r="C24" s="1"/>
      <c r="D24" s="1"/>
      <c r="E24" s="1" t="s">
        <v>353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ht="21" customHeight="1">
      <c r="A25" s="1"/>
      <c r="B25" s="1"/>
      <c r="C25" s="1"/>
      <c r="D25" s="1"/>
      <c r="E25" s="1"/>
      <c r="F25" s="1" t="s">
        <v>354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ht="21" customHeight="1">
      <c r="A26" s="1"/>
      <c r="B26" s="1"/>
      <c r="C26" s="1"/>
      <c r="D26" s="1"/>
      <c r="E26" s="1" t="s">
        <v>355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ht="21" customHeight="1">
      <c r="A27" s="1"/>
      <c r="B27" s="1"/>
      <c r="C27" s="1"/>
      <c r="D27" s="1"/>
      <c r="E27" s="1"/>
      <c r="F27" s="1" t="s">
        <v>370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ht="21" customHeight="1">
      <c r="A28" s="1"/>
      <c r="B28" s="1"/>
      <c r="C28" s="1"/>
      <c r="D28" s="1"/>
      <c r="E28" s="1"/>
      <c r="F28" s="1" t="s">
        <v>371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ht="21" customHeight="1">
      <c r="A29" s="1"/>
      <c r="B29" s="1"/>
      <c r="C29" s="1"/>
      <c r="D29" s="1"/>
      <c r="E29" s="1"/>
      <c r="F29" s="1" t="s">
        <v>372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ht="21" customHeight="1">
      <c r="A30" s="1"/>
      <c r="B30" s="1"/>
      <c r="C30" s="1"/>
      <c r="D30" s="1"/>
      <c r="E30" s="1"/>
      <c r="F30" s="1" t="s">
        <v>373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ht="21" customHeight="1">
      <c r="A31" s="1"/>
      <c r="B31" s="1"/>
      <c r="C31" s="1"/>
      <c r="D31" s="1"/>
      <c r="E31" s="1" t="s">
        <v>357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ht="21" customHeight="1">
      <c r="A32" s="1"/>
      <c r="B32" s="1"/>
      <c r="C32" s="1"/>
      <c r="D32" s="1"/>
      <c r="E32" s="1"/>
      <c r="F32" s="1" t="s">
        <v>358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ht="21" customHeight="1">
      <c r="A33" s="1"/>
      <c r="B33" s="1"/>
      <c r="C33" s="1"/>
      <c r="D33" s="1"/>
      <c r="E33" s="1" t="s">
        <v>359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ht="21" customHeight="1">
      <c r="A34" s="1"/>
      <c r="B34" s="1"/>
      <c r="C34" s="1"/>
      <c r="D34" s="1"/>
      <c r="E34" s="1"/>
      <c r="F34" s="1" t="s">
        <v>374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ht="21" customHeight="1">
      <c r="A35" s="1"/>
      <c r="B35" s="1"/>
      <c r="C35" s="1"/>
      <c r="D35" s="1"/>
      <c r="E35" s="1" t="s">
        <v>361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ht="21" customHeight="1">
      <c r="A36" s="1"/>
      <c r="B36" s="1"/>
      <c r="C36" s="1"/>
      <c r="D36" s="1"/>
      <c r="E36" s="1"/>
      <c r="F36" s="1" t="s">
        <v>375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ht="21" customHeight="1">
      <c r="A37" s="1"/>
      <c r="B37" s="1"/>
      <c r="C37" s="1"/>
      <c r="D37" s="1"/>
      <c r="E37" s="1"/>
      <c r="F37" s="1" t="s">
        <v>376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ht="21" customHeight="1">
      <c r="A38" s="1"/>
      <c r="B38" s="1"/>
      <c r="C38" s="1"/>
      <c r="D38" s="1"/>
      <c r="E38" s="1"/>
      <c r="F38" s="1" t="s">
        <v>377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ht="21" customHeight="1">
      <c r="A39" s="1"/>
      <c r="B39" s="1"/>
      <c r="C39" s="1"/>
      <c r="D39" s="1"/>
      <c r="E39" s="1"/>
      <c r="F39" s="1" t="s">
        <v>378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ht="21" customHeight="1">
      <c r="A40" s="1"/>
      <c r="B40" s="1"/>
      <c r="C40" s="1"/>
      <c r="D40" s="1"/>
      <c r="E40" s="1" t="s">
        <v>364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ht="21" customHeight="1">
      <c r="A41" s="1"/>
      <c r="B41" s="1"/>
      <c r="C41" s="1"/>
      <c r="D41" s="1"/>
      <c r="E41" s="1"/>
      <c r="F41" s="1" t="s">
        <v>375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ht="21" customHeight="1">
      <c r="A42" s="1"/>
      <c r="B42" s="1"/>
      <c r="C42" s="1"/>
      <c r="D42" s="1"/>
      <c r="E42" s="1"/>
      <c r="F42" s="1" t="s">
        <v>379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ht="21" customHeight="1">
      <c r="A43" s="1"/>
      <c r="B43" s="1"/>
      <c r="C43" s="1"/>
      <c r="D43" s="1"/>
      <c r="E43" s="1"/>
      <c r="F43" s="1" t="s">
        <v>377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ht="21" customHeight="1">
      <c r="A44" s="1"/>
      <c r="B44" s="1"/>
      <c r="C44" s="1"/>
      <c r="D44" s="1"/>
      <c r="E44" s="1"/>
      <c r="F44" s="1" t="s">
        <v>380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ht="21" customHeight="1">
      <c r="A46" s="1"/>
      <c r="B46" s="1"/>
      <c r="C46" s="1"/>
      <c r="D46" s="1"/>
      <c r="E46" s="31" t="s">
        <v>367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ht="21" customHeight="1">
      <c r="A47" s="1"/>
      <c r="B47" s="1"/>
      <c r="C47" s="1"/>
      <c r="D47" s="1"/>
      <c r="E47" s="31" t="s">
        <v>368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8:AL18"/>
    <mergeCell ref="AM18:AN18"/>
    <mergeCell ref="AO18:AS18"/>
    <mergeCell ref="AT18:BE18"/>
    <mergeCell ref="B18:D18"/>
    <mergeCell ref="E18:M18"/>
    <mergeCell ref="N18:V18"/>
    <mergeCell ref="W18:AB18"/>
    <mergeCell ref="AC18:AE18"/>
    <mergeCell ref="AF18:AH18"/>
    <mergeCell ref="AI18:AJ1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12"/>
  <pageMargins left="0.70866141732283472" right="0.70866141732283472" top="0.74803149606299213" bottom="0.74803149606299213" header="0" footer="0"/>
  <pageSetup paperSize="9" scale="69" fitToHeight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133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381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939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630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5" si="0">ROW()-5</f>
        <v>1</v>
      </c>
      <c r="C6" s="101"/>
      <c r="D6" s="102"/>
      <c r="E6" s="118" t="s">
        <v>382</v>
      </c>
      <c r="F6" s="119"/>
      <c r="G6" s="119"/>
      <c r="H6" s="119"/>
      <c r="I6" s="119"/>
      <c r="J6" s="119"/>
      <c r="K6" s="119"/>
      <c r="L6" s="119"/>
      <c r="M6" s="120"/>
      <c r="N6" s="113" t="s">
        <v>631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30" t="s">
        <v>254</v>
      </c>
      <c r="F7" s="119"/>
      <c r="G7" s="119"/>
      <c r="H7" s="119"/>
      <c r="I7" s="119"/>
      <c r="J7" s="119"/>
      <c r="K7" s="119"/>
      <c r="L7" s="119"/>
      <c r="M7" s="120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7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8" t="s">
        <v>383</v>
      </c>
      <c r="F8" s="119"/>
      <c r="G8" s="119"/>
      <c r="H8" s="119"/>
      <c r="I8" s="119"/>
      <c r="J8" s="119"/>
      <c r="K8" s="119"/>
      <c r="L8" s="119"/>
      <c r="M8" s="120"/>
      <c r="N8" s="113" t="s">
        <v>384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30" t="s">
        <v>385</v>
      </c>
      <c r="F9" s="119"/>
      <c r="G9" s="119"/>
      <c r="H9" s="119"/>
      <c r="I9" s="119"/>
      <c r="J9" s="119"/>
      <c r="K9" s="119"/>
      <c r="L9" s="119"/>
      <c r="M9" s="120"/>
      <c r="N9" s="113" t="s">
        <v>386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841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30" t="s">
        <v>387</v>
      </c>
      <c r="F10" s="119"/>
      <c r="G10" s="119"/>
      <c r="H10" s="119"/>
      <c r="I10" s="119"/>
      <c r="J10" s="119"/>
      <c r="K10" s="119"/>
      <c r="L10" s="119"/>
      <c r="M10" s="120"/>
      <c r="N10" s="113" t="s">
        <v>778</v>
      </c>
      <c r="O10" s="101"/>
      <c r="P10" s="101"/>
      <c r="Q10" s="101"/>
      <c r="R10" s="101"/>
      <c r="S10" s="101"/>
      <c r="T10" s="101"/>
      <c r="U10" s="101"/>
      <c r="V10" s="102"/>
      <c r="W10" s="113" t="s">
        <v>584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950</v>
      </c>
      <c r="F11" s="101"/>
      <c r="G11" s="101"/>
      <c r="H11" s="101"/>
      <c r="I11" s="101"/>
      <c r="J11" s="101"/>
      <c r="K11" s="101"/>
      <c r="L11" s="101"/>
      <c r="M11" s="102"/>
      <c r="N11" s="113" t="s">
        <v>605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229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30" t="s">
        <v>388</v>
      </c>
      <c r="F12" s="119"/>
      <c r="G12" s="119"/>
      <c r="H12" s="119"/>
      <c r="I12" s="119"/>
      <c r="J12" s="119"/>
      <c r="K12" s="119"/>
      <c r="L12" s="119"/>
      <c r="M12" s="120"/>
      <c r="N12" s="113" t="s">
        <v>813</v>
      </c>
      <c r="O12" s="101"/>
      <c r="P12" s="101"/>
      <c r="Q12" s="101"/>
      <c r="R12" s="101"/>
      <c r="S12" s="101"/>
      <c r="T12" s="101"/>
      <c r="U12" s="101"/>
      <c r="V12" s="102"/>
      <c r="W12" s="113" t="s">
        <v>584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57.75" customHeight="1">
      <c r="A13" s="1"/>
      <c r="B13" s="114">
        <f t="shared" si="0"/>
        <v>8</v>
      </c>
      <c r="C13" s="101"/>
      <c r="D13" s="102"/>
      <c r="E13" s="130" t="s">
        <v>224</v>
      </c>
      <c r="F13" s="119"/>
      <c r="G13" s="119"/>
      <c r="H13" s="119"/>
      <c r="I13" s="119"/>
      <c r="J13" s="119"/>
      <c r="K13" s="119"/>
      <c r="L13" s="119"/>
      <c r="M13" s="120"/>
      <c r="N13" s="113" t="s">
        <v>814</v>
      </c>
      <c r="O13" s="101"/>
      <c r="P13" s="101"/>
      <c r="Q13" s="101"/>
      <c r="R13" s="101"/>
      <c r="S13" s="101"/>
      <c r="T13" s="101"/>
      <c r="U13" s="101"/>
      <c r="V13" s="102"/>
      <c r="W13" s="113" t="s">
        <v>582</v>
      </c>
      <c r="X13" s="101"/>
      <c r="Y13" s="101"/>
      <c r="Z13" s="101"/>
      <c r="AA13" s="101"/>
      <c r="AB13" s="102"/>
      <c r="AC13" s="113" t="s">
        <v>78</v>
      </c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389</v>
      </c>
      <c r="AP13" s="101"/>
      <c r="AQ13" s="101"/>
      <c r="AR13" s="101"/>
      <c r="AS13" s="102"/>
      <c r="AT13" s="116" t="s">
        <v>390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8" t="s">
        <v>4</v>
      </c>
      <c r="F14" s="119"/>
      <c r="G14" s="119"/>
      <c r="H14" s="119"/>
      <c r="I14" s="119"/>
      <c r="J14" s="119"/>
      <c r="K14" s="119"/>
      <c r="L14" s="119"/>
      <c r="M14" s="120"/>
      <c r="N14" s="118" t="s">
        <v>238</v>
      </c>
      <c r="O14" s="119"/>
      <c r="P14" s="119"/>
      <c r="Q14" s="119"/>
      <c r="R14" s="119"/>
      <c r="S14" s="119"/>
      <c r="T14" s="119"/>
      <c r="U14" s="119"/>
      <c r="V14" s="120"/>
      <c r="W14" s="118" t="s">
        <v>578</v>
      </c>
      <c r="X14" s="119"/>
      <c r="Y14" s="119"/>
      <c r="Z14" s="119"/>
      <c r="AA14" s="119"/>
      <c r="AB14" s="120"/>
      <c r="AC14" s="118"/>
      <c r="AD14" s="119"/>
      <c r="AE14" s="120"/>
      <c r="AF14" s="128" t="s">
        <v>198</v>
      </c>
      <c r="AG14" s="119"/>
      <c r="AH14" s="120"/>
      <c r="AI14" s="128"/>
      <c r="AJ14" s="120"/>
      <c r="AK14" s="128"/>
      <c r="AL14" s="120"/>
      <c r="AM14" s="128"/>
      <c r="AN14" s="120"/>
      <c r="AO14" s="118" t="s">
        <v>205</v>
      </c>
      <c r="AP14" s="119"/>
      <c r="AQ14" s="119"/>
      <c r="AR14" s="119"/>
      <c r="AS14" s="120"/>
      <c r="AT14" s="127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0"/>
    </row>
    <row r="15" spans="1:57" ht="21" customHeight="1">
      <c r="A15" s="1"/>
      <c r="B15" s="114">
        <f t="shared" si="0"/>
        <v>10</v>
      </c>
      <c r="C15" s="101"/>
      <c r="D15" s="102"/>
      <c r="E15" s="132" t="s">
        <v>22</v>
      </c>
      <c r="F15" s="119"/>
      <c r="G15" s="119"/>
      <c r="H15" s="119"/>
      <c r="I15" s="119"/>
      <c r="J15" s="119"/>
      <c r="K15" s="119"/>
      <c r="L15" s="119"/>
      <c r="M15" s="120"/>
      <c r="N15" s="132" t="s">
        <v>204</v>
      </c>
      <c r="O15" s="119"/>
      <c r="P15" s="119"/>
      <c r="Q15" s="119"/>
      <c r="R15" s="119"/>
      <c r="S15" s="119"/>
      <c r="T15" s="119"/>
      <c r="U15" s="119"/>
      <c r="V15" s="120"/>
      <c r="W15" s="118" t="s">
        <v>578</v>
      </c>
      <c r="X15" s="119"/>
      <c r="Y15" s="119"/>
      <c r="Z15" s="119"/>
      <c r="AA15" s="119"/>
      <c r="AB15" s="120"/>
      <c r="AC15" s="118"/>
      <c r="AD15" s="119"/>
      <c r="AE15" s="120"/>
      <c r="AF15" s="128" t="s">
        <v>198</v>
      </c>
      <c r="AG15" s="119"/>
      <c r="AH15" s="120"/>
      <c r="AI15" s="128"/>
      <c r="AJ15" s="120"/>
      <c r="AK15" s="128"/>
      <c r="AL15" s="120"/>
      <c r="AM15" s="128"/>
      <c r="AN15" s="120"/>
      <c r="AO15" s="118" t="s">
        <v>395</v>
      </c>
      <c r="AP15" s="119"/>
      <c r="AQ15" s="119"/>
      <c r="AR15" s="119"/>
      <c r="AS15" s="120"/>
      <c r="AT15" s="127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0"/>
    </row>
    <row r="16" spans="1:57" ht="21" customHeight="1">
      <c r="A16" s="1"/>
      <c r="B16" s="1"/>
      <c r="C16" s="1"/>
      <c r="D16" s="1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</row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1"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135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391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632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1" si="0">ROW()-5</f>
        <v>1</v>
      </c>
      <c r="C6" s="101"/>
      <c r="D6" s="102"/>
      <c r="E6" s="113" t="s">
        <v>392</v>
      </c>
      <c r="F6" s="101"/>
      <c r="G6" s="101"/>
      <c r="H6" s="101"/>
      <c r="I6" s="101"/>
      <c r="J6" s="101"/>
      <c r="K6" s="101"/>
      <c r="L6" s="101"/>
      <c r="M6" s="102"/>
      <c r="N6" s="118" t="s">
        <v>633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7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393</v>
      </c>
      <c r="F8" s="101"/>
      <c r="G8" s="101"/>
      <c r="H8" s="101"/>
      <c r="I8" s="101"/>
      <c r="J8" s="101"/>
      <c r="K8" s="101"/>
      <c r="L8" s="101"/>
      <c r="M8" s="102"/>
      <c r="N8" s="103" t="s">
        <v>678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0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394</v>
      </c>
      <c r="F9" s="101"/>
      <c r="G9" s="101"/>
      <c r="H9" s="101"/>
      <c r="I9" s="101"/>
      <c r="J9" s="101"/>
      <c r="K9" s="101"/>
      <c r="L9" s="101"/>
      <c r="M9" s="102"/>
      <c r="N9" s="113" t="s">
        <v>815</v>
      </c>
      <c r="O9" s="101"/>
      <c r="P9" s="101"/>
      <c r="Q9" s="101"/>
      <c r="R9" s="101"/>
      <c r="S9" s="101"/>
      <c r="T9" s="101"/>
      <c r="U9" s="101"/>
      <c r="V9" s="102"/>
      <c r="W9" s="113" t="s">
        <v>584</v>
      </c>
      <c r="X9" s="101"/>
      <c r="Y9" s="101"/>
      <c r="Z9" s="101"/>
      <c r="AA9" s="101"/>
      <c r="AB9" s="102"/>
      <c r="AC9" s="113"/>
      <c r="AD9" s="101"/>
      <c r="AE9" s="102"/>
      <c r="AF9" s="112"/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</v>
      </c>
      <c r="F10" s="101"/>
      <c r="G10" s="101"/>
      <c r="H10" s="101"/>
      <c r="I10" s="101"/>
      <c r="J10" s="101"/>
      <c r="K10" s="101"/>
      <c r="L10" s="101"/>
      <c r="M10" s="102"/>
      <c r="N10" s="113" t="s">
        <v>238</v>
      </c>
      <c r="O10" s="101"/>
      <c r="P10" s="101"/>
      <c r="Q10" s="101"/>
      <c r="R10" s="101"/>
      <c r="S10" s="101"/>
      <c r="T10" s="101"/>
      <c r="U10" s="101"/>
      <c r="V10" s="102"/>
      <c r="W10" s="113" t="s">
        <v>578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 t="s">
        <v>395</v>
      </c>
      <c r="AP10" s="101"/>
      <c r="AQ10" s="101"/>
      <c r="AR10" s="101"/>
      <c r="AS10" s="102"/>
      <c r="AT10" s="116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7" t="s">
        <v>22</v>
      </c>
      <c r="F11" s="101"/>
      <c r="G11" s="101"/>
      <c r="H11" s="101"/>
      <c r="I11" s="101"/>
      <c r="J11" s="101"/>
      <c r="K11" s="101"/>
      <c r="L11" s="101"/>
      <c r="M11" s="102"/>
      <c r="N11" s="117" t="s">
        <v>204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8" t="s">
        <v>395</v>
      </c>
      <c r="AP11" s="119"/>
      <c r="AQ11" s="119"/>
      <c r="AR11" s="119"/>
      <c r="AS11" s="120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137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391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634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3" si="0">ROW()-5</f>
        <v>1</v>
      </c>
      <c r="C6" s="101"/>
      <c r="D6" s="102"/>
      <c r="E6" s="113" t="s">
        <v>396</v>
      </c>
      <c r="F6" s="101"/>
      <c r="G6" s="101"/>
      <c r="H6" s="101"/>
      <c r="I6" s="101"/>
      <c r="J6" s="101"/>
      <c r="K6" s="101"/>
      <c r="L6" s="101"/>
      <c r="M6" s="102"/>
      <c r="N6" s="113" t="s">
        <v>635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4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7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393</v>
      </c>
      <c r="F8" s="101"/>
      <c r="G8" s="101"/>
      <c r="H8" s="101"/>
      <c r="I8" s="101"/>
      <c r="J8" s="101"/>
      <c r="K8" s="101"/>
      <c r="L8" s="101"/>
      <c r="M8" s="102"/>
      <c r="N8" s="113" t="s">
        <v>678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397</v>
      </c>
      <c r="F9" s="101"/>
      <c r="G9" s="101"/>
      <c r="H9" s="101"/>
      <c r="I9" s="101"/>
      <c r="J9" s="101"/>
      <c r="K9" s="101"/>
      <c r="L9" s="101"/>
      <c r="M9" s="102"/>
      <c r="N9" s="113" t="s">
        <v>605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229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324</v>
      </c>
      <c r="F10" s="101"/>
      <c r="G10" s="101"/>
      <c r="H10" s="101"/>
      <c r="I10" s="101"/>
      <c r="J10" s="101"/>
      <c r="K10" s="101"/>
      <c r="L10" s="101"/>
      <c r="M10" s="102"/>
      <c r="N10" s="116" t="s">
        <v>325</v>
      </c>
      <c r="O10" s="101"/>
      <c r="P10" s="101"/>
      <c r="Q10" s="101"/>
      <c r="R10" s="101"/>
      <c r="S10" s="101"/>
      <c r="T10" s="101"/>
      <c r="U10" s="101"/>
      <c r="V10" s="102"/>
      <c r="W10" s="113" t="s">
        <v>816</v>
      </c>
      <c r="X10" s="101"/>
      <c r="Y10" s="101"/>
      <c r="Z10" s="101"/>
      <c r="AA10" s="101"/>
      <c r="AB10" s="102"/>
      <c r="AC10" s="113" t="s">
        <v>602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817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398</v>
      </c>
      <c r="F11" s="101"/>
      <c r="G11" s="101"/>
      <c r="H11" s="101"/>
      <c r="I11" s="101"/>
      <c r="J11" s="101"/>
      <c r="K11" s="101"/>
      <c r="L11" s="101"/>
      <c r="M11" s="102"/>
      <c r="N11" s="113" t="s">
        <v>818</v>
      </c>
      <c r="O11" s="101"/>
      <c r="P11" s="101"/>
      <c r="Q11" s="101"/>
      <c r="R11" s="101"/>
      <c r="S11" s="101"/>
      <c r="T11" s="101"/>
      <c r="U11" s="101"/>
      <c r="V11" s="102"/>
      <c r="W11" s="113" t="s">
        <v>596</v>
      </c>
      <c r="X11" s="101"/>
      <c r="Y11" s="101"/>
      <c r="Z11" s="101"/>
      <c r="AA11" s="101"/>
      <c r="AB11" s="102"/>
      <c r="AC11" s="113" t="s">
        <v>867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849</v>
      </c>
      <c r="AP11" s="101"/>
      <c r="AQ11" s="101"/>
      <c r="AR11" s="101"/>
      <c r="AS11" s="102"/>
      <c r="AT11" s="116" t="s">
        <v>399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4</v>
      </c>
      <c r="F12" s="101"/>
      <c r="G12" s="101"/>
      <c r="H12" s="101"/>
      <c r="I12" s="101"/>
      <c r="J12" s="101"/>
      <c r="K12" s="101"/>
      <c r="L12" s="101"/>
      <c r="M12" s="102"/>
      <c r="N12" s="113" t="s">
        <v>238</v>
      </c>
      <c r="O12" s="101"/>
      <c r="P12" s="101"/>
      <c r="Q12" s="101"/>
      <c r="R12" s="101"/>
      <c r="S12" s="101"/>
      <c r="T12" s="101"/>
      <c r="U12" s="101"/>
      <c r="V12" s="102"/>
      <c r="W12" s="113" t="s">
        <v>578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 t="s">
        <v>205</v>
      </c>
      <c r="AP12" s="101"/>
      <c r="AQ12" s="101"/>
      <c r="AR12" s="101"/>
      <c r="AS12" s="102"/>
      <c r="AT12" s="116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7" t="s">
        <v>22</v>
      </c>
      <c r="F13" s="101"/>
      <c r="G13" s="101"/>
      <c r="H13" s="101"/>
      <c r="I13" s="101"/>
      <c r="J13" s="101"/>
      <c r="K13" s="101"/>
      <c r="L13" s="101"/>
      <c r="M13" s="102"/>
      <c r="N13" s="132" t="s">
        <v>204</v>
      </c>
      <c r="O13" s="119"/>
      <c r="P13" s="119"/>
      <c r="Q13" s="119"/>
      <c r="R13" s="119"/>
      <c r="S13" s="119"/>
      <c r="T13" s="119"/>
      <c r="U13" s="119"/>
      <c r="V13" s="120"/>
      <c r="W13" s="118" t="s">
        <v>578</v>
      </c>
      <c r="X13" s="119"/>
      <c r="Y13" s="119"/>
      <c r="Z13" s="119"/>
      <c r="AA13" s="119"/>
      <c r="AB13" s="120"/>
      <c r="AC13" s="118"/>
      <c r="AD13" s="119"/>
      <c r="AE13" s="120"/>
      <c r="AF13" s="128" t="s">
        <v>198</v>
      </c>
      <c r="AG13" s="119"/>
      <c r="AH13" s="120"/>
      <c r="AI13" s="128"/>
      <c r="AJ13" s="120"/>
      <c r="AK13" s="128"/>
      <c r="AL13" s="120"/>
      <c r="AM13" s="128"/>
      <c r="AN13" s="120"/>
      <c r="AO13" s="118" t="s">
        <v>395</v>
      </c>
      <c r="AP13" s="119"/>
      <c r="AQ13" s="119"/>
      <c r="AR13" s="119"/>
      <c r="AS13" s="120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618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400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871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681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599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0" si="0">ROW()-5</f>
        <v>1</v>
      </c>
      <c r="C6" s="101"/>
      <c r="D6" s="102"/>
      <c r="E6" s="113" t="s">
        <v>636</v>
      </c>
      <c r="F6" s="101"/>
      <c r="G6" s="101"/>
      <c r="H6" s="101"/>
      <c r="I6" s="101"/>
      <c r="J6" s="101"/>
      <c r="K6" s="101"/>
      <c r="L6" s="101"/>
      <c r="M6" s="102"/>
      <c r="N6" s="113" t="s">
        <v>682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401</v>
      </c>
      <c r="F8" s="101"/>
      <c r="G8" s="101"/>
      <c r="H8" s="101"/>
      <c r="I8" s="101"/>
      <c r="J8" s="101"/>
      <c r="K8" s="101"/>
      <c r="L8" s="101"/>
      <c r="M8" s="102"/>
      <c r="N8" s="113" t="s">
        <v>212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402</v>
      </c>
      <c r="F9" s="101"/>
      <c r="G9" s="101"/>
      <c r="H9" s="101"/>
      <c r="I9" s="101"/>
      <c r="J9" s="101"/>
      <c r="K9" s="101"/>
      <c r="L9" s="101"/>
      <c r="M9" s="102"/>
      <c r="N9" s="113" t="s">
        <v>819</v>
      </c>
      <c r="O9" s="101"/>
      <c r="P9" s="101"/>
      <c r="Q9" s="101"/>
      <c r="R9" s="101"/>
      <c r="S9" s="101"/>
      <c r="T9" s="101"/>
      <c r="U9" s="101"/>
      <c r="V9" s="102"/>
      <c r="W9" s="118" t="s">
        <v>596</v>
      </c>
      <c r="X9" s="119"/>
      <c r="Y9" s="119"/>
      <c r="Z9" s="119"/>
      <c r="AA9" s="119"/>
      <c r="AB9" s="120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 t="s">
        <v>403</v>
      </c>
      <c r="AP9" s="101"/>
      <c r="AQ9" s="101"/>
      <c r="AR9" s="101"/>
      <c r="AS9" s="102"/>
      <c r="AT9" s="113" t="s">
        <v>404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</v>
      </c>
      <c r="F10" s="101"/>
      <c r="G10" s="101"/>
      <c r="H10" s="101"/>
      <c r="I10" s="101"/>
      <c r="J10" s="101"/>
      <c r="K10" s="101"/>
      <c r="L10" s="101"/>
      <c r="M10" s="102"/>
      <c r="N10" s="113" t="s">
        <v>238</v>
      </c>
      <c r="O10" s="101"/>
      <c r="P10" s="101"/>
      <c r="Q10" s="101"/>
      <c r="R10" s="101"/>
      <c r="S10" s="101"/>
      <c r="T10" s="101"/>
      <c r="U10" s="101"/>
      <c r="V10" s="102"/>
      <c r="W10" s="113" t="s">
        <v>578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 t="s">
        <v>205</v>
      </c>
      <c r="AP10" s="101"/>
      <c r="AQ10" s="101"/>
      <c r="AR10" s="101"/>
      <c r="AS10" s="102"/>
      <c r="AT10" s="116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141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836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3" si="0">ROW()-5</f>
        <v>1</v>
      </c>
      <c r="C6" s="101"/>
      <c r="D6" s="102"/>
      <c r="E6" s="118" t="s">
        <v>406</v>
      </c>
      <c r="F6" s="119"/>
      <c r="G6" s="119"/>
      <c r="H6" s="119"/>
      <c r="I6" s="119"/>
      <c r="J6" s="119"/>
      <c r="K6" s="119"/>
      <c r="L6" s="119"/>
      <c r="M6" s="120"/>
      <c r="N6" s="113" t="s">
        <v>837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8" t="s">
        <v>254</v>
      </c>
      <c r="F7" s="119"/>
      <c r="G7" s="119"/>
      <c r="H7" s="119"/>
      <c r="I7" s="119"/>
      <c r="J7" s="119"/>
      <c r="K7" s="119"/>
      <c r="L7" s="119"/>
      <c r="M7" s="120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31" t="s">
        <v>313</v>
      </c>
      <c r="F8" s="119"/>
      <c r="G8" s="119"/>
      <c r="H8" s="119"/>
      <c r="I8" s="119"/>
      <c r="J8" s="119"/>
      <c r="K8" s="119"/>
      <c r="L8" s="119"/>
      <c r="M8" s="120"/>
      <c r="N8" s="113" t="s">
        <v>606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848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39.75" customHeight="1">
      <c r="A9" s="1"/>
      <c r="B9" s="114">
        <f t="shared" si="0"/>
        <v>4</v>
      </c>
      <c r="C9" s="101"/>
      <c r="D9" s="102"/>
      <c r="E9" s="130" t="s">
        <v>340</v>
      </c>
      <c r="F9" s="119"/>
      <c r="G9" s="119"/>
      <c r="H9" s="119"/>
      <c r="I9" s="119"/>
      <c r="J9" s="119"/>
      <c r="K9" s="119"/>
      <c r="L9" s="119"/>
      <c r="M9" s="120"/>
      <c r="N9" s="113" t="s">
        <v>605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6" t="s">
        <v>407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38.25" customHeight="1">
      <c r="A10" s="1"/>
      <c r="B10" s="114">
        <f t="shared" si="0"/>
        <v>5</v>
      </c>
      <c r="C10" s="101"/>
      <c r="D10" s="102"/>
      <c r="E10" s="130" t="s">
        <v>408</v>
      </c>
      <c r="F10" s="119"/>
      <c r="G10" s="119"/>
      <c r="H10" s="119"/>
      <c r="I10" s="119"/>
      <c r="J10" s="119"/>
      <c r="K10" s="119"/>
      <c r="L10" s="119"/>
      <c r="M10" s="120"/>
      <c r="N10" s="113" t="s">
        <v>608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6" t="s">
        <v>409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.75" customHeight="1">
      <c r="A11" s="1"/>
      <c r="B11" s="114">
        <f t="shared" si="0"/>
        <v>6</v>
      </c>
      <c r="C11" s="101"/>
      <c r="D11" s="102"/>
      <c r="E11" s="130" t="s">
        <v>410</v>
      </c>
      <c r="F11" s="119"/>
      <c r="G11" s="119"/>
      <c r="H11" s="119"/>
      <c r="I11" s="119"/>
      <c r="J11" s="119"/>
      <c r="K11" s="119"/>
      <c r="L11" s="119"/>
      <c r="M11" s="120"/>
      <c r="N11" s="113" t="s">
        <v>820</v>
      </c>
      <c r="O11" s="101"/>
      <c r="P11" s="101"/>
      <c r="Q11" s="101"/>
      <c r="R11" s="101"/>
      <c r="S11" s="101"/>
      <c r="T11" s="101"/>
      <c r="U11" s="101"/>
      <c r="V11" s="102"/>
      <c r="W11" s="113" t="s">
        <v>584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8" t="s">
        <v>4</v>
      </c>
      <c r="F12" s="119"/>
      <c r="G12" s="119"/>
      <c r="H12" s="119"/>
      <c r="I12" s="119"/>
      <c r="J12" s="119"/>
      <c r="K12" s="119"/>
      <c r="L12" s="119"/>
      <c r="M12" s="120"/>
      <c r="N12" s="113" t="s">
        <v>238</v>
      </c>
      <c r="O12" s="101"/>
      <c r="P12" s="101"/>
      <c r="Q12" s="101"/>
      <c r="R12" s="101"/>
      <c r="S12" s="101"/>
      <c r="T12" s="101"/>
      <c r="U12" s="101"/>
      <c r="V12" s="102"/>
      <c r="W12" s="113" t="s">
        <v>578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 t="s">
        <v>205</v>
      </c>
      <c r="AP12" s="101"/>
      <c r="AQ12" s="101"/>
      <c r="AR12" s="101"/>
      <c r="AS12" s="102"/>
      <c r="AT12" s="116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8" t="s">
        <v>22</v>
      </c>
      <c r="F13" s="119"/>
      <c r="G13" s="119"/>
      <c r="H13" s="119"/>
      <c r="I13" s="119"/>
      <c r="J13" s="119"/>
      <c r="K13" s="119"/>
      <c r="L13" s="119"/>
      <c r="M13" s="120"/>
      <c r="N13" s="113" t="s">
        <v>204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395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"/>
      <c r="C14" s="1"/>
      <c r="D14" s="1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</row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E999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143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4" t="s">
        <v>729</v>
      </c>
      <c r="V2" s="55"/>
      <c r="W2" s="55"/>
      <c r="X2" s="55"/>
      <c r="Y2" s="55"/>
      <c r="Z2" s="55"/>
      <c r="AA2" s="55"/>
      <c r="AB2" s="55"/>
      <c r="AC2" s="56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2" si="0">ROW()-5</f>
        <v>1</v>
      </c>
      <c r="C6" s="101"/>
      <c r="D6" s="102"/>
      <c r="E6" s="118" t="s">
        <v>411</v>
      </c>
      <c r="F6" s="119"/>
      <c r="G6" s="119"/>
      <c r="H6" s="119"/>
      <c r="I6" s="119"/>
      <c r="J6" s="119"/>
      <c r="K6" s="119"/>
      <c r="L6" s="119"/>
      <c r="M6" s="120"/>
      <c r="N6" s="113" t="s">
        <v>730</v>
      </c>
      <c r="O6" s="101"/>
      <c r="P6" s="101"/>
      <c r="Q6" s="101"/>
      <c r="R6" s="101"/>
      <c r="S6" s="101"/>
      <c r="T6" s="101"/>
      <c r="U6" s="101"/>
      <c r="V6" s="102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21" customHeight="1">
      <c r="A7" s="1"/>
      <c r="B7" s="114">
        <f t="shared" si="0"/>
        <v>2</v>
      </c>
      <c r="C7" s="101"/>
      <c r="D7" s="102"/>
      <c r="E7" s="118" t="s">
        <v>254</v>
      </c>
      <c r="F7" s="119"/>
      <c r="G7" s="119"/>
      <c r="H7" s="119"/>
      <c r="I7" s="119"/>
      <c r="J7" s="119"/>
      <c r="K7" s="119"/>
      <c r="L7" s="119"/>
      <c r="M7" s="120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30" t="s">
        <v>340</v>
      </c>
      <c r="F8" s="119"/>
      <c r="G8" s="119"/>
      <c r="H8" s="119"/>
      <c r="I8" s="119"/>
      <c r="J8" s="119"/>
      <c r="K8" s="119"/>
      <c r="L8" s="119"/>
      <c r="M8" s="120"/>
      <c r="N8" s="113" t="s">
        <v>605</v>
      </c>
      <c r="O8" s="101"/>
      <c r="P8" s="101"/>
      <c r="Q8" s="101"/>
      <c r="R8" s="101"/>
      <c r="S8" s="101"/>
      <c r="T8" s="101"/>
      <c r="U8" s="101"/>
      <c r="V8" s="102"/>
      <c r="W8" s="113" t="s">
        <v>583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6" t="s">
        <v>412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30" t="s">
        <v>408</v>
      </c>
      <c r="F9" s="119"/>
      <c r="G9" s="119"/>
      <c r="H9" s="119"/>
      <c r="I9" s="119"/>
      <c r="J9" s="119"/>
      <c r="K9" s="119"/>
      <c r="L9" s="119"/>
      <c r="M9" s="120"/>
      <c r="N9" s="113" t="s">
        <v>608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6" t="s">
        <v>412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.75" customHeight="1">
      <c r="A10" s="1"/>
      <c r="B10" s="114">
        <f t="shared" si="0"/>
        <v>5</v>
      </c>
      <c r="C10" s="101"/>
      <c r="D10" s="102"/>
      <c r="E10" s="130" t="s">
        <v>410</v>
      </c>
      <c r="F10" s="119"/>
      <c r="G10" s="119"/>
      <c r="H10" s="119"/>
      <c r="I10" s="119"/>
      <c r="J10" s="119"/>
      <c r="K10" s="119"/>
      <c r="L10" s="119"/>
      <c r="M10" s="120"/>
      <c r="N10" s="113" t="s">
        <v>820</v>
      </c>
      <c r="O10" s="101"/>
      <c r="P10" s="101"/>
      <c r="Q10" s="101"/>
      <c r="R10" s="101"/>
      <c r="S10" s="101"/>
      <c r="T10" s="101"/>
      <c r="U10" s="101"/>
      <c r="V10" s="102"/>
      <c r="W10" s="113" t="s">
        <v>584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6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8" t="s">
        <v>4</v>
      </c>
      <c r="F11" s="119"/>
      <c r="G11" s="119"/>
      <c r="H11" s="119"/>
      <c r="I11" s="119"/>
      <c r="J11" s="119"/>
      <c r="K11" s="119"/>
      <c r="L11" s="119"/>
      <c r="M11" s="120"/>
      <c r="N11" s="118" t="s">
        <v>238</v>
      </c>
      <c r="O11" s="119"/>
      <c r="P11" s="119"/>
      <c r="Q11" s="119"/>
      <c r="R11" s="119"/>
      <c r="S11" s="119"/>
      <c r="T11" s="119"/>
      <c r="U11" s="119"/>
      <c r="V11" s="120"/>
      <c r="W11" s="118" t="s">
        <v>578</v>
      </c>
      <c r="X11" s="119"/>
      <c r="Y11" s="119"/>
      <c r="Z11" s="119"/>
      <c r="AA11" s="119"/>
      <c r="AB11" s="120"/>
      <c r="AC11" s="118"/>
      <c r="AD11" s="119"/>
      <c r="AE11" s="120"/>
      <c r="AF11" s="128" t="s">
        <v>198</v>
      </c>
      <c r="AG11" s="119"/>
      <c r="AH11" s="120"/>
      <c r="AI11" s="128"/>
      <c r="AJ11" s="120"/>
      <c r="AK11" s="128"/>
      <c r="AL11" s="120"/>
      <c r="AM11" s="128"/>
      <c r="AN11" s="120"/>
      <c r="AO11" s="118" t="s">
        <v>205</v>
      </c>
      <c r="AP11" s="119"/>
      <c r="AQ11" s="119"/>
      <c r="AR11" s="119"/>
      <c r="AS11" s="120"/>
      <c r="AT11" s="127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0"/>
    </row>
    <row r="12" spans="1:57" ht="21" customHeight="1">
      <c r="A12" s="1"/>
      <c r="B12" s="114">
        <f t="shared" si="0"/>
        <v>7</v>
      </c>
      <c r="C12" s="101"/>
      <c r="D12" s="102"/>
      <c r="E12" s="118" t="s">
        <v>22</v>
      </c>
      <c r="F12" s="119"/>
      <c r="G12" s="119"/>
      <c r="H12" s="119"/>
      <c r="I12" s="119"/>
      <c r="J12" s="119"/>
      <c r="K12" s="119"/>
      <c r="L12" s="119"/>
      <c r="M12" s="120"/>
      <c r="N12" s="118" t="s">
        <v>204</v>
      </c>
      <c r="O12" s="119"/>
      <c r="P12" s="119"/>
      <c r="Q12" s="119"/>
      <c r="R12" s="119"/>
      <c r="S12" s="119"/>
      <c r="T12" s="119"/>
      <c r="U12" s="119"/>
      <c r="V12" s="120"/>
      <c r="W12" s="118" t="s">
        <v>578</v>
      </c>
      <c r="X12" s="119"/>
      <c r="Y12" s="119"/>
      <c r="Z12" s="119"/>
      <c r="AA12" s="119"/>
      <c r="AB12" s="120"/>
      <c r="AC12" s="118"/>
      <c r="AD12" s="119"/>
      <c r="AE12" s="120"/>
      <c r="AF12" s="128" t="s">
        <v>198</v>
      </c>
      <c r="AG12" s="119"/>
      <c r="AH12" s="120"/>
      <c r="AI12" s="128"/>
      <c r="AJ12" s="120"/>
      <c r="AK12" s="128"/>
      <c r="AL12" s="120"/>
      <c r="AM12" s="128"/>
      <c r="AN12" s="120"/>
      <c r="AO12" s="118" t="s">
        <v>395</v>
      </c>
      <c r="AP12" s="119"/>
      <c r="AQ12" s="119"/>
      <c r="AR12" s="119"/>
      <c r="AS12" s="120"/>
      <c r="AT12" s="127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0"/>
    </row>
    <row r="13" spans="1:57" ht="21" customHeight="1">
      <c r="A13" s="1"/>
      <c r="B13" s="1"/>
      <c r="C13" s="1"/>
      <c r="D13" s="1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</row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8"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699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727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700</v>
      </c>
      <c r="F6" s="101"/>
      <c r="G6" s="101"/>
      <c r="H6" s="101"/>
      <c r="I6" s="101"/>
      <c r="J6" s="101"/>
      <c r="K6" s="101"/>
      <c r="L6" s="101"/>
      <c r="M6" s="102"/>
      <c r="N6" s="113" t="s">
        <v>728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8" t="s">
        <v>254</v>
      </c>
      <c r="F7" s="119"/>
      <c r="G7" s="119"/>
      <c r="H7" s="119"/>
      <c r="I7" s="119"/>
      <c r="J7" s="119"/>
      <c r="K7" s="119"/>
      <c r="L7" s="119"/>
      <c r="M7" s="120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31" t="s">
        <v>313</v>
      </c>
      <c r="F8" s="119"/>
      <c r="G8" s="119"/>
      <c r="H8" s="119"/>
      <c r="I8" s="119"/>
      <c r="J8" s="119"/>
      <c r="K8" s="119"/>
      <c r="L8" s="119"/>
      <c r="M8" s="120"/>
      <c r="N8" s="113" t="s">
        <v>606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848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30" t="s">
        <v>413</v>
      </c>
      <c r="F9" s="119"/>
      <c r="G9" s="119"/>
      <c r="H9" s="119"/>
      <c r="I9" s="119"/>
      <c r="J9" s="119"/>
      <c r="K9" s="119"/>
      <c r="L9" s="119"/>
      <c r="M9" s="120"/>
      <c r="N9" s="113" t="s">
        <v>821</v>
      </c>
      <c r="O9" s="101"/>
      <c r="P9" s="101"/>
      <c r="Q9" s="101"/>
      <c r="R9" s="101"/>
      <c r="S9" s="101"/>
      <c r="T9" s="101"/>
      <c r="U9" s="101"/>
      <c r="V9" s="102"/>
      <c r="W9" s="113" t="s">
        <v>584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30" t="s">
        <v>414</v>
      </c>
      <c r="F10" s="119"/>
      <c r="G10" s="119"/>
      <c r="H10" s="119"/>
      <c r="I10" s="119"/>
      <c r="J10" s="119"/>
      <c r="K10" s="119"/>
      <c r="L10" s="119"/>
      <c r="M10" s="120"/>
      <c r="N10" s="113" t="s">
        <v>822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316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415</v>
      </c>
      <c r="F11" s="101"/>
      <c r="G11" s="101"/>
      <c r="H11" s="101"/>
      <c r="I11" s="101"/>
      <c r="J11" s="101"/>
      <c r="K11" s="101"/>
      <c r="L11" s="101"/>
      <c r="M11" s="102"/>
      <c r="N11" s="113" t="s">
        <v>697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316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416</v>
      </c>
      <c r="F12" s="101"/>
      <c r="G12" s="101"/>
      <c r="H12" s="101"/>
      <c r="I12" s="101"/>
      <c r="J12" s="101"/>
      <c r="K12" s="101"/>
      <c r="L12" s="101"/>
      <c r="M12" s="102"/>
      <c r="N12" s="113" t="s">
        <v>698</v>
      </c>
      <c r="O12" s="101"/>
      <c r="P12" s="101"/>
      <c r="Q12" s="101"/>
      <c r="R12" s="101"/>
      <c r="S12" s="101"/>
      <c r="T12" s="101"/>
      <c r="U12" s="101"/>
      <c r="V12" s="102"/>
      <c r="W12" s="113" t="s">
        <v>583</v>
      </c>
      <c r="X12" s="101"/>
      <c r="Y12" s="101"/>
      <c r="Z12" s="101"/>
      <c r="AA12" s="101"/>
      <c r="AB12" s="102"/>
      <c r="AC12" s="113" t="s">
        <v>228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6" t="s">
        <v>316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3" t="s">
        <v>22</v>
      </c>
      <c r="F14" s="101"/>
      <c r="G14" s="101"/>
      <c r="H14" s="101"/>
      <c r="I14" s="101"/>
      <c r="J14" s="101"/>
      <c r="K14" s="101"/>
      <c r="L14" s="101"/>
      <c r="M14" s="102"/>
      <c r="N14" s="113" t="s">
        <v>204</v>
      </c>
      <c r="O14" s="101"/>
      <c r="P14" s="101"/>
      <c r="Q14" s="101"/>
      <c r="R14" s="101"/>
      <c r="S14" s="101"/>
      <c r="T14" s="101"/>
      <c r="U14" s="101"/>
      <c r="V14" s="102"/>
      <c r="W14" s="113" t="s">
        <v>578</v>
      </c>
      <c r="X14" s="101"/>
      <c r="Y14" s="101"/>
      <c r="Z14" s="101"/>
      <c r="AA14" s="101"/>
      <c r="AB14" s="102"/>
      <c r="AC14" s="113"/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8" t="s">
        <v>395</v>
      </c>
      <c r="AP14" s="119"/>
      <c r="AQ14" s="119"/>
      <c r="AR14" s="119"/>
      <c r="AS14" s="120"/>
      <c r="AT14" s="116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701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743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2" si="0">ROW()-5</f>
        <v>1</v>
      </c>
      <c r="C6" s="101"/>
      <c r="D6" s="102"/>
      <c r="E6" s="113" t="s">
        <v>702</v>
      </c>
      <c r="F6" s="101"/>
      <c r="G6" s="101"/>
      <c r="H6" s="101"/>
      <c r="I6" s="101"/>
      <c r="J6" s="101"/>
      <c r="K6" s="101"/>
      <c r="L6" s="101"/>
      <c r="M6" s="102"/>
      <c r="N6" s="113" t="s">
        <v>744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413</v>
      </c>
      <c r="F8" s="101"/>
      <c r="G8" s="101"/>
      <c r="H8" s="101"/>
      <c r="I8" s="101"/>
      <c r="J8" s="101"/>
      <c r="K8" s="101"/>
      <c r="L8" s="101"/>
      <c r="M8" s="102"/>
      <c r="N8" s="113" t="s">
        <v>821</v>
      </c>
      <c r="O8" s="101"/>
      <c r="P8" s="101"/>
      <c r="Q8" s="101"/>
      <c r="R8" s="101"/>
      <c r="S8" s="101"/>
      <c r="T8" s="101"/>
      <c r="U8" s="101"/>
      <c r="V8" s="102"/>
      <c r="W8" s="113" t="s">
        <v>584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3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414</v>
      </c>
      <c r="F9" s="101"/>
      <c r="G9" s="101"/>
      <c r="H9" s="101"/>
      <c r="I9" s="101"/>
      <c r="J9" s="101"/>
      <c r="K9" s="101"/>
      <c r="L9" s="101"/>
      <c r="M9" s="102"/>
      <c r="N9" s="113" t="s">
        <v>822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316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416</v>
      </c>
      <c r="F10" s="101"/>
      <c r="G10" s="101"/>
      <c r="H10" s="101"/>
      <c r="I10" s="101"/>
      <c r="J10" s="101"/>
      <c r="K10" s="101"/>
      <c r="L10" s="101"/>
      <c r="M10" s="102"/>
      <c r="N10" s="113" t="s">
        <v>698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6" t="s">
        <v>316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22</v>
      </c>
      <c r="F12" s="101"/>
      <c r="G12" s="101"/>
      <c r="H12" s="101"/>
      <c r="I12" s="101"/>
      <c r="J12" s="101"/>
      <c r="K12" s="101"/>
      <c r="L12" s="101"/>
      <c r="M12" s="102"/>
      <c r="N12" s="113" t="s">
        <v>204</v>
      </c>
      <c r="O12" s="101"/>
      <c r="P12" s="101"/>
      <c r="Q12" s="101"/>
      <c r="R12" s="101"/>
      <c r="S12" s="101"/>
      <c r="T12" s="101"/>
      <c r="U12" s="101"/>
      <c r="V12" s="102"/>
      <c r="W12" s="113" t="s">
        <v>578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8" t="s">
        <v>395</v>
      </c>
      <c r="AP12" s="119"/>
      <c r="AQ12" s="119"/>
      <c r="AR12" s="119"/>
      <c r="AS12" s="120"/>
      <c r="AT12" s="116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149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405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749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1" si="0">ROW()-5</f>
        <v>1</v>
      </c>
      <c r="C6" s="101"/>
      <c r="D6" s="102"/>
      <c r="E6" s="113" t="s">
        <v>637</v>
      </c>
      <c r="F6" s="101"/>
      <c r="G6" s="101"/>
      <c r="H6" s="101"/>
      <c r="I6" s="101"/>
      <c r="J6" s="101"/>
      <c r="K6" s="101"/>
      <c r="L6" s="101"/>
      <c r="M6" s="102"/>
      <c r="N6" s="113" t="s">
        <v>750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413</v>
      </c>
      <c r="F8" s="101"/>
      <c r="G8" s="101"/>
      <c r="H8" s="101"/>
      <c r="I8" s="101"/>
      <c r="J8" s="101"/>
      <c r="K8" s="101"/>
      <c r="L8" s="101"/>
      <c r="M8" s="102"/>
      <c r="N8" s="113" t="s">
        <v>821</v>
      </c>
      <c r="O8" s="101"/>
      <c r="P8" s="101"/>
      <c r="Q8" s="101"/>
      <c r="R8" s="101"/>
      <c r="S8" s="101"/>
      <c r="T8" s="101"/>
      <c r="U8" s="101"/>
      <c r="V8" s="102"/>
      <c r="W8" s="113" t="s">
        <v>584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3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416</v>
      </c>
      <c r="F9" s="101"/>
      <c r="G9" s="101"/>
      <c r="H9" s="101"/>
      <c r="I9" s="101"/>
      <c r="J9" s="101"/>
      <c r="K9" s="101"/>
      <c r="L9" s="101"/>
      <c r="M9" s="102"/>
      <c r="N9" s="113" t="s">
        <v>698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6" t="s">
        <v>316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</v>
      </c>
      <c r="F10" s="101"/>
      <c r="G10" s="101"/>
      <c r="H10" s="101"/>
      <c r="I10" s="101"/>
      <c r="J10" s="101"/>
      <c r="K10" s="101"/>
      <c r="L10" s="101"/>
      <c r="M10" s="102"/>
      <c r="N10" s="113" t="s">
        <v>238</v>
      </c>
      <c r="O10" s="101"/>
      <c r="P10" s="101"/>
      <c r="Q10" s="101"/>
      <c r="R10" s="101"/>
      <c r="S10" s="101"/>
      <c r="T10" s="101"/>
      <c r="U10" s="101"/>
      <c r="V10" s="102"/>
      <c r="W10" s="113" t="s">
        <v>578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 t="s">
        <v>205</v>
      </c>
      <c r="AP10" s="101"/>
      <c r="AQ10" s="101"/>
      <c r="AR10" s="101"/>
      <c r="AS10" s="102"/>
      <c r="AT10" s="116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22</v>
      </c>
      <c r="F11" s="101"/>
      <c r="G11" s="101"/>
      <c r="H11" s="101"/>
      <c r="I11" s="101"/>
      <c r="J11" s="101"/>
      <c r="K11" s="101"/>
      <c r="L11" s="101"/>
      <c r="M11" s="102"/>
      <c r="N11" s="113" t="s">
        <v>204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8" t="s">
        <v>395</v>
      </c>
      <c r="AP11" s="119"/>
      <c r="AQ11" s="119"/>
      <c r="AR11" s="119"/>
      <c r="AS11" s="120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704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417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823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705</v>
      </c>
      <c r="F6" s="101"/>
      <c r="G6" s="101"/>
      <c r="H6" s="101"/>
      <c r="I6" s="101"/>
      <c r="J6" s="101"/>
      <c r="K6" s="101"/>
      <c r="L6" s="101"/>
      <c r="M6" s="102"/>
      <c r="N6" s="113" t="s">
        <v>824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202</v>
      </c>
      <c r="F8" s="101"/>
      <c r="G8" s="101"/>
      <c r="H8" s="101"/>
      <c r="I8" s="101"/>
      <c r="J8" s="101"/>
      <c r="K8" s="101"/>
      <c r="L8" s="101"/>
      <c r="M8" s="102"/>
      <c r="N8" s="113" t="s">
        <v>850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843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210</v>
      </c>
      <c r="F9" s="101"/>
      <c r="G9" s="101"/>
      <c r="H9" s="101"/>
      <c r="I9" s="101"/>
      <c r="J9" s="101"/>
      <c r="K9" s="101"/>
      <c r="L9" s="101"/>
      <c r="M9" s="102"/>
      <c r="N9" s="113" t="s">
        <v>678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841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413</v>
      </c>
      <c r="F10" s="101"/>
      <c r="G10" s="101"/>
      <c r="H10" s="101"/>
      <c r="I10" s="101"/>
      <c r="J10" s="101"/>
      <c r="K10" s="101"/>
      <c r="L10" s="101"/>
      <c r="M10" s="102"/>
      <c r="N10" s="113" t="s">
        <v>821</v>
      </c>
      <c r="O10" s="101"/>
      <c r="P10" s="101"/>
      <c r="Q10" s="101"/>
      <c r="R10" s="101"/>
      <c r="S10" s="101"/>
      <c r="T10" s="101"/>
      <c r="U10" s="101"/>
      <c r="V10" s="102"/>
      <c r="W10" s="113" t="s">
        <v>584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5.25" customHeight="1">
      <c r="A11" s="1"/>
      <c r="B11" s="114">
        <f t="shared" si="0"/>
        <v>6</v>
      </c>
      <c r="C11" s="101"/>
      <c r="D11" s="102"/>
      <c r="E11" s="114" t="s">
        <v>418</v>
      </c>
      <c r="F11" s="101"/>
      <c r="G11" s="101"/>
      <c r="H11" s="101"/>
      <c r="I11" s="101"/>
      <c r="J11" s="101"/>
      <c r="K11" s="101"/>
      <c r="L11" s="101"/>
      <c r="M11" s="102"/>
      <c r="N11" s="113" t="s">
        <v>419</v>
      </c>
      <c r="O11" s="101"/>
      <c r="P11" s="101"/>
      <c r="Q11" s="101"/>
      <c r="R11" s="101"/>
      <c r="S11" s="101"/>
      <c r="T11" s="101"/>
      <c r="U11" s="101"/>
      <c r="V11" s="102"/>
      <c r="W11" s="113" t="s">
        <v>582</v>
      </c>
      <c r="X11" s="101"/>
      <c r="Y11" s="101"/>
      <c r="Z11" s="101"/>
      <c r="AA11" s="101"/>
      <c r="AB11" s="102"/>
      <c r="AC11" s="113" t="s">
        <v>78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420</v>
      </c>
      <c r="AP11" s="101"/>
      <c r="AQ11" s="101"/>
      <c r="AR11" s="101"/>
      <c r="AS11" s="102"/>
      <c r="AT11" s="116" t="s">
        <v>421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76.5" customHeight="1">
      <c r="A12" s="1"/>
      <c r="B12" s="114">
        <f t="shared" si="0"/>
        <v>7</v>
      </c>
      <c r="C12" s="101"/>
      <c r="D12" s="102"/>
      <c r="E12" s="114" t="s">
        <v>422</v>
      </c>
      <c r="F12" s="101"/>
      <c r="G12" s="101"/>
      <c r="H12" s="101"/>
      <c r="I12" s="101"/>
      <c r="J12" s="101"/>
      <c r="K12" s="101"/>
      <c r="L12" s="101"/>
      <c r="M12" s="102"/>
      <c r="N12" s="113" t="s">
        <v>703</v>
      </c>
      <c r="O12" s="101"/>
      <c r="P12" s="101"/>
      <c r="Q12" s="101"/>
      <c r="R12" s="101"/>
      <c r="S12" s="101"/>
      <c r="T12" s="101"/>
      <c r="U12" s="101"/>
      <c r="V12" s="102"/>
      <c r="W12" s="113" t="s">
        <v>594</v>
      </c>
      <c r="X12" s="101"/>
      <c r="Y12" s="101"/>
      <c r="Z12" s="101"/>
      <c r="AA12" s="101"/>
      <c r="AB12" s="102"/>
      <c r="AC12" s="113" t="s">
        <v>423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6" t="s">
        <v>424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3" t="s">
        <v>22</v>
      </c>
      <c r="F14" s="101"/>
      <c r="G14" s="101"/>
      <c r="H14" s="101"/>
      <c r="I14" s="101"/>
      <c r="J14" s="101"/>
      <c r="K14" s="101"/>
      <c r="L14" s="101"/>
      <c r="M14" s="102"/>
      <c r="N14" s="113" t="s">
        <v>204</v>
      </c>
      <c r="O14" s="101"/>
      <c r="P14" s="101"/>
      <c r="Q14" s="101"/>
      <c r="R14" s="101"/>
      <c r="S14" s="101"/>
      <c r="T14" s="101"/>
      <c r="U14" s="101"/>
      <c r="V14" s="102"/>
      <c r="W14" s="113" t="s">
        <v>578</v>
      </c>
      <c r="X14" s="101"/>
      <c r="Y14" s="101"/>
      <c r="Z14" s="101"/>
      <c r="AA14" s="101"/>
      <c r="AB14" s="102"/>
      <c r="AC14" s="113"/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8" t="s">
        <v>395</v>
      </c>
      <c r="AP14" s="119"/>
      <c r="AQ14" s="119"/>
      <c r="AR14" s="119"/>
      <c r="AS14" s="120"/>
      <c r="AT14" s="116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153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417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706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2" si="0">ROW()-5</f>
        <v>1</v>
      </c>
      <c r="C6" s="101"/>
      <c r="D6" s="102"/>
      <c r="E6" s="113" t="s">
        <v>425</v>
      </c>
      <c r="F6" s="101"/>
      <c r="G6" s="101"/>
      <c r="H6" s="101"/>
      <c r="I6" s="101"/>
      <c r="J6" s="101"/>
      <c r="K6" s="101"/>
      <c r="L6" s="101"/>
      <c r="M6" s="102"/>
      <c r="N6" s="113" t="s">
        <v>707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211</v>
      </c>
      <c r="F8" s="101"/>
      <c r="G8" s="101"/>
      <c r="H8" s="101"/>
      <c r="I8" s="101"/>
      <c r="J8" s="101"/>
      <c r="K8" s="101"/>
      <c r="L8" s="101"/>
      <c r="M8" s="102"/>
      <c r="N8" s="113" t="s">
        <v>212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210</v>
      </c>
      <c r="F9" s="101"/>
      <c r="G9" s="101"/>
      <c r="H9" s="101"/>
      <c r="I9" s="101"/>
      <c r="J9" s="101"/>
      <c r="K9" s="101"/>
      <c r="L9" s="101"/>
      <c r="M9" s="102"/>
      <c r="N9" s="113" t="s">
        <v>678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841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413</v>
      </c>
      <c r="F10" s="101"/>
      <c r="G10" s="101"/>
      <c r="H10" s="101"/>
      <c r="I10" s="101"/>
      <c r="J10" s="101"/>
      <c r="K10" s="101"/>
      <c r="L10" s="101"/>
      <c r="M10" s="102"/>
      <c r="N10" s="113" t="s">
        <v>821</v>
      </c>
      <c r="O10" s="101"/>
      <c r="P10" s="101"/>
      <c r="Q10" s="101"/>
      <c r="R10" s="101"/>
      <c r="S10" s="101"/>
      <c r="T10" s="101"/>
      <c r="U10" s="101"/>
      <c r="V10" s="102"/>
      <c r="W10" s="113" t="s">
        <v>584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22</v>
      </c>
      <c r="F12" s="101"/>
      <c r="G12" s="101"/>
      <c r="H12" s="101"/>
      <c r="I12" s="101"/>
      <c r="J12" s="101"/>
      <c r="K12" s="101"/>
      <c r="L12" s="101"/>
      <c r="M12" s="102"/>
      <c r="N12" s="113" t="s">
        <v>204</v>
      </c>
      <c r="O12" s="101"/>
      <c r="P12" s="101"/>
      <c r="Q12" s="101"/>
      <c r="R12" s="101"/>
      <c r="S12" s="101"/>
      <c r="T12" s="101"/>
      <c r="U12" s="101"/>
      <c r="V12" s="102"/>
      <c r="W12" s="113" t="s">
        <v>578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8" t="s">
        <v>395</v>
      </c>
      <c r="AP12" s="119"/>
      <c r="AQ12" s="119"/>
      <c r="AR12" s="119"/>
      <c r="AS12" s="120"/>
      <c r="AT12" s="116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155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426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638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6" si="0">ROW()-5</f>
        <v>1</v>
      </c>
      <c r="C6" s="101"/>
      <c r="D6" s="102"/>
      <c r="E6" s="113" t="s">
        <v>427</v>
      </c>
      <c r="F6" s="101"/>
      <c r="G6" s="101"/>
      <c r="H6" s="101"/>
      <c r="I6" s="101"/>
      <c r="J6" s="101"/>
      <c r="K6" s="101"/>
      <c r="L6" s="101"/>
      <c r="M6" s="102"/>
      <c r="N6" s="118" t="s">
        <v>639</v>
      </c>
      <c r="O6" s="119"/>
      <c r="P6" s="119"/>
      <c r="Q6" s="119"/>
      <c r="R6" s="119"/>
      <c r="S6" s="119"/>
      <c r="T6" s="119"/>
      <c r="U6" s="119"/>
      <c r="V6" s="120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312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428</v>
      </c>
      <c r="F8" s="101"/>
      <c r="G8" s="101"/>
      <c r="H8" s="101"/>
      <c r="I8" s="101"/>
      <c r="J8" s="101"/>
      <c r="K8" s="101"/>
      <c r="L8" s="101"/>
      <c r="M8" s="102"/>
      <c r="N8" s="113" t="s">
        <v>828</v>
      </c>
      <c r="O8" s="101"/>
      <c r="P8" s="101"/>
      <c r="Q8" s="101"/>
      <c r="R8" s="101"/>
      <c r="S8" s="101"/>
      <c r="T8" s="101"/>
      <c r="U8" s="101"/>
      <c r="V8" s="102"/>
      <c r="W8" s="113" t="s">
        <v>584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3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429</v>
      </c>
      <c r="F9" s="101"/>
      <c r="G9" s="101"/>
      <c r="H9" s="101"/>
      <c r="I9" s="101"/>
      <c r="J9" s="101"/>
      <c r="K9" s="101"/>
      <c r="L9" s="101"/>
      <c r="M9" s="102"/>
      <c r="N9" s="113" t="s">
        <v>829</v>
      </c>
      <c r="O9" s="101"/>
      <c r="P9" s="101"/>
      <c r="Q9" s="101"/>
      <c r="R9" s="101"/>
      <c r="S9" s="101"/>
      <c r="T9" s="101"/>
      <c r="U9" s="101"/>
      <c r="V9" s="102"/>
      <c r="W9" s="113" t="s">
        <v>584</v>
      </c>
      <c r="X9" s="101"/>
      <c r="Y9" s="101"/>
      <c r="Z9" s="101"/>
      <c r="AA9" s="101"/>
      <c r="AB9" s="102"/>
      <c r="AC9" s="113"/>
      <c r="AD9" s="101"/>
      <c r="AE9" s="102"/>
      <c r="AF9" s="112"/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430</v>
      </c>
      <c r="F10" s="101"/>
      <c r="G10" s="101"/>
      <c r="H10" s="101"/>
      <c r="I10" s="101"/>
      <c r="J10" s="101"/>
      <c r="K10" s="101"/>
      <c r="L10" s="101"/>
      <c r="M10" s="102"/>
      <c r="N10" s="113" t="s">
        <v>830</v>
      </c>
      <c r="O10" s="101"/>
      <c r="P10" s="101"/>
      <c r="Q10" s="101"/>
      <c r="R10" s="101"/>
      <c r="S10" s="101"/>
      <c r="T10" s="101"/>
      <c r="U10" s="101"/>
      <c r="V10" s="102"/>
      <c r="W10" s="113" t="s">
        <v>584</v>
      </c>
      <c r="X10" s="101"/>
      <c r="Y10" s="101"/>
      <c r="Z10" s="101"/>
      <c r="AA10" s="101"/>
      <c r="AB10" s="102"/>
      <c r="AC10" s="113"/>
      <c r="AD10" s="101"/>
      <c r="AE10" s="102"/>
      <c r="AF10" s="112"/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431</v>
      </c>
      <c r="F11" s="101"/>
      <c r="G11" s="101"/>
      <c r="H11" s="101"/>
      <c r="I11" s="101"/>
      <c r="J11" s="101"/>
      <c r="K11" s="101"/>
      <c r="L11" s="101"/>
      <c r="M11" s="102"/>
      <c r="N11" s="113" t="s">
        <v>432</v>
      </c>
      <c r="O11" s="101"/>
      <c r="P11" s="101"/>
      <c r="Q11" s="101"/>
      <c r="R11" s="101"/>
      <c r="S11" s="101"/>
      <c r="T11" s="101"/>
      <c r="U11" s="101"/>
      <c r="V11" s="102"/>
      <c r="W11" s="113" t="s">
        <v>577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 t="s">
        <v>198</v>
      </c>
      <c r="AN11" s="102"/>
      <c r="AO11" s="113"/>
      <c r="AP11" s="101"/>
      <c r="AQ11" s="101"/>
      <c r="AR11" s="101"/>
      <c r="AS11" s="102"/>
      <c r="AT11" s="113" t="s">
        <v>842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433</v>
      </c>
      <c r="F12" s="101"/>
      <c r="G12" s="101"/>
      <c r="H12" s="101"/>
      <c r="I12" s="101"/>
      <c r="J12" s="101"/>
      <c r="K12" s="101"/>
      <c r="L12" s="101"/>
      <c r="M12" s="102"/>
      <c r="N12" s="113" t="s">
        <v>434</v>
      </c>
      <c r="O12" s="101"/>
      <c r="P12" s="101"/>
      <c r="Q12" s="101"/>
      <c r="R12" s="101"/>
      <c r="S12" s="101"/>
      <c r="T12" s="101"/>
      <c r="U12" s="101"/>
      <c r="V12" s="102"/>
      <c r="W12" s="113" t="s">
        <v>577</v>
      </c>
      <c r="X12" s="101"/>
      <c r="Y12" s="101"/>
      <c r="Z12" s="101"/>
      <c r="AA12" s="101"/>
      <c r="AB12" s="102"/>
      <c r="AC12" s="113"/>
      <c r="AD12" s="101"/>
      <c r="AE12" s="102"/>
      <c r="AF12" s="112"/>
      <c r="AG12" s="101"/>
      <c r="AH12" s="102"/>
      <c r="AI12" s="112"/>
      <c r="AJ12" s="102"/>
      <c r="AK12" s="112"/>
      <c r="AL12" s="102"/>
      <c r="AM12" s="112" t="s">
        <v>198</v>
      </c>
      <c r="AN12" s="102"/>
      <c r="AO12" s="113"/>
      <c r="AP12" s="101"/>
      <c r="AQ12" s="101"/>
      <c r="AR12" s="101"/>
      <c r="AS12" s="102"/>
      <c r="AT12" s="113" t="s">
        <v>842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4" t="s">
        <v>435</v>
      </c>
      <c r="F13" s="101"/>
      <c r="G13" s="101"/>
      <c r="H13" s="101"/>
      <c r="I13" s="101"/>
      <c r="J13" s="101"/>
      <c r="K13" s="101"/>
      <c r="L13" s="101"/>
      <c r="M13" s="102"/>
      <c r="N13" s="113" t="s">
        <v>436</v>
      </c>
      <c r="O13" s="101"/>
      <c r="P13" s="101"/>
      <c r="Q13" s="101"/>
      <c r="R13" s="101"/>
      <c r="S13" s="101"/>
      <c r="T13" s="101"/>
      <c r="U13" s="101"/>
      <c r="V13" s="102"/>
      <c r="W13" s="113" t="s">
        <v>583</v>
      </c>
      <c r="X13" s="101"/>
      <c r="Y13" s="101"/>
      <c r="Z13" s="101"/>
      <c r="AA13" s="101"/>
      <c r="AB13" s="102"/>
      <c r="AC13" s="113" t="s">
        <v>228</v>
      </c>
      <c r="AD13" s="101"/>
      <c r="AE13" s="102"/>
      <c r="AF13" s="112"/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13" t="s">
        <v>229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437</v>
      </c>
      <c r="F14" s="101"/>
      <c r="G14" s="101"/>
      <c r="H14" s="101"/>
      <c r="I14" s="101"/>
      <c r="J14" s="101"/>
      <c r="K14" s="101"/>
      <c r="L14" s="101"/>
      <c r="M14" s="102"/>
      <c r="N14" s="118" t="s">
        <v>438</v>
      </c>
      <c r="O14" s="119"/>
      <c r="P14" s="119"/>
      <c r="Q14" s="119"/>
      <c r="R14" s="119"/>
      <c r="S14" s="119"/>
      <c r="T14" s="119"/>
      <c r="U14" s="119"/>
      <c r="V14" s="120"/>
      <c r="W14" s="118" t="s">
        <v>583</v>
      </c>
      <c r="X14" s="119"/>
      <c r="Y14" s="119"/>
      <c r="Z14" s="119"/>
      <c r="AA14" s="119"/>
      <c r="AB14" s="120"/>
      <c r="AC14" s="118" t="s">
        <v>228</v>
      </c>
      <c r="AD14" s="119"/>
      <c r="AE14" s="120"/>
      <c r="AF14" s="128"/>
      <c r="AG14" s="119"/>
      <c r="AH14" s="120"/>
      <c r="AI14" s="128"/>
      <c r="AJ14" s="120"/>
      <c r="AK14" s="128"/>
      <c r="AL14" s="120"/>
      <c r="AM14" s="128"/>
      <c r="AN14" s="120"/>
      <c r="AO14" s="118"/>
      <c r="AP14" s="119"/>
      <c r="AQ14" s="119"/>
      <c r="AR14" s="119"/>
      <c r="AS14" s="120"/>
      <c r="AT14" s="118" t="s">
        <v>229</v>
      </c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0"/>
    </row>
    <row r="15" spans="1:57" ht="21" customHeight="1">
      <c r="A15" s="1"/>
      <c r="B15" s="114">
        <f t="shared" si="0"/>
        <v>10</v>
      </c>
      <c r="C15" s="101"/>
      <c r="D15" s="102"/>
      <c r="E15" s="113" t="s">
        <v>4</v>
      </c>
      <c r="F15" s="101"/>
      <c r="G15" s="101"/>
      <c r="H15" s="101"/>
      <c r="I15" s="101"/>
      <c r="J15" s="101"/>
      <c r="K15" s="101"/>
      <c r="L15" s="101"/>
      <c r="M15" s="102"/>
      <c r="N15" s="118" t="s">
        <v>238</v>
      </c>
      <c r="O15" s="119"/>
      <c r="P15" s="119"/>
      <c r="Q15" s="119"/>
      <c r="R15" s="119"/>
      <c r="S15" s="119"/>
      <c r="T15" s="119"/>
      <c r="U15" s="119"/>
      <c r="V15" s="120"/>
      <c r="W15" s="118" t="s">
        <v>578</v>
      </c>
      <c r="X15" s="119"/>
      <c r="Y15" s="119"/>
      <c r="Z15" s="119"/>
      <c r="AA15" s="119"/>
      <c r="AB15" s="120"/>
      <c r="AC15" s="118"/>
      <c r="AD15" s="119"/>
      <c r="AE15" s="120"/>
      <c r="AF15" s="128" t="s">
        <v>198</v>
      </c>
      <c r="AG15" s="119"/>
      <c r="AH15" s="120"/>
      <c r="AI15" s="128"/>
      <c r="AJ15" s="120"/>
      <c r="AK15" s="128"/>
      <c r="AL15" s="120"/>
      <c r="AM15" s="128"/>
      <c r="AN15" s="120"/>
      <c r="AO15" s="118" t="s">
        <v>205</v>
      </c>
      <c r="AP15" s="119"/>
      <c r="AQ15" s="119"/>
      <c r="AR15" s="119"/>
      <c r="AS15" s="120"/>
      <c r="AT15" s="127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0"/>
    </row>
    <row r="16" spans="1:57" ht="21" customHeight="1">
      <c r="A16" s="1"/>
      <c r="B16" s="114">
        <f t="shared" si="0"/>
        <v>11</v>
      </c>
      <c r="C16" s="101"/>
      <c r="D16" s="102"/>
      <c r="E16" s="113" t="s">
        <v>22</v>
      </c>
      <c r="F16" s="101"/>
      <c r="G16" s="101"/>
      <c r="H16" s="101"/>
      <c r="I16" s="101"/>
      <c r="J16" s="101"/>
      <c r="K16" s="101"/>
      <c r="L16" s="101"/>
      <c r="M16" s="102"/>
      <c r="N16" s="118" t="s">
        <v>204</v>
      </c>
      <c r="O16" s="119"/>
      <c r="P16" s="119"/>
      <c r="Q16" s="119"/>
      <c r="R16" s="119"/>
      <c r="S16" s="119"/>
      <c r="T16" s="119"/>
      <c r="U16" s="119"/>
      <c r="V16" s="120"/>
      <c r="W16" s="118" t="s">
        <v>578</v>
      </c>
      <c r="X16" s="119"/>
      <c r="Y16" s="119"/>
      <c r="Z16" s="119"/>
      <c r="AA16" s="119"/>
      <c r="AB16" s="120"/>
      <c r="AC16" s="118"/>
      <c r="AD16" s="119"/>
      <c r="AE16" s="120"/>
      <c r="AF16" s="128" t="s">
        <v>198</v>
      </c>
      <c r="AG16" s="119"/>
      <c r="AH16" s="120"/>
      <c r="AI16" s="128"/>
      <c r="AJ16" s="120"/>
      <c r="AK16" s="128"/>
      <c r="AL16" s="120"/>
      <c r="AM16" s="128"/>
      <c r="AN16" s="120"/>
      <c r="AO16" s="118" t="s">
        <v>395</v>
      </c>
      <c r="AP16" s="119"/>
      <c r="AQ16" s="119"/>
      <c r="AR16" s="119"/>
      <c r="AS16" s="120"/>
      <c r="AT16" s="127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0"/>
    </row>
    <row r="17" spans="1:5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</row>
    <row r="18" spans="1:57" ht="21" customHeight="1"/>
    <row r="19" spans="1:57" ht="21" customHeight="1"/>
    <row r="20" spans="1:57" ht="21" customHeight="1"/>
    <row r="21" spans="1:57" ht="21" customHeight="1"/>
    <row r="22" spans="1:57" ht="21" customHeight="1"/>
    <row r="23" spans="1:57" ht="21" customHeight="1"/>
    <row r="24" spans="1:57" ht="21" customHeight="1"/>
    <row r="25" spans="1:57" ht="21" customHeight="1"/>
    <row r="26" spans="1:57" ht="21" customHeight="1"/>
    <row r="27" spans="1:57" ht="21" customHeight="1"/>
    <row r="28" spans="1:57" ht="21" customHeight="1"/>
    <row r="29" spans="1:57" ht="21" customHeight="1"/>
    <row r="30" spans="1:57" ht="21" customHeight="1"/>
    <row r="31" spans="1:57" ht="21" customHeight="1"/>
    <row r="32" spans="1:57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157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426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735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1" si="0">ROW()-5</f>
        <v>1</v>
      </c>
      <c r="C6" s="101"/>
      <c r="D6" s="102"/>
      <c r="E6" s="113" t="s">
        <v>439</v>
      </c>
      <c r="F6" s="101"/>
      <c r="G6" s="101"/>
      <c r="H6" s="101"/>
      <c r="I6" s="101"/>
      <c r="J6" s="101"/>
      <c r="K6" s="101"/>
      <c r="L6" s="101"/>
      <c r="M6" s="102"/>
      <c r="N6" s="113" t="s">
        <v>736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202</v>
      </c>
      <c r="F7" s="101"/>
      <c r="G7" s="101"/>
      <c r="H7" s="101"/>
      <c r="I7" s="101"/>
      <c r="J7" s="101"/>
      <c r="K7" s="101"/>
      <c r="L7" s="101"/>
      <c r="M7" s="102"/>
      <c r="N7" s="113" t="s">
        <v>203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843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397</v>
      </c>
      <c r="F8" s="101"/>
      <c r="G8" s="101"/>
      <c r="H8" s="101"/>
      <c r="I8" s="101"/>
      <c r="J8" s="101"/>
      <c r="K8" s="101"/>
      <c r="L8" s="101"/>
      <c r="M8" s="102"/>
      <c r="N8" s="113" t="s">
        <v>708</v>
      </c>
      <c r="O8" s="101"/>
      <c r="P8" s="101"/>
      <c r="Q8" s="101"/>
      <c r="R8" s="101"/>
      <c r="S8" s="101"/>
      <c r="T8" s="101"/>
      <c r="U8" s="101"/>
      <c r="V8" s="102"/>
      <c r="W8" s="113" t="s">
        <v>583</v>
      </c>
      <c r="X8" s="101"/>
      <c r="Y8" s="101"/>
      <c r="Z8" s="101"/>
      <c r="AA8" s="101"/>
      <c r="AB8" s="102"/>
      <c r="AC8" s="113" t="s">
        <v>228</v>
      </c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3" t="s">
        <v>229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429</v>
      </c>
      <c r="F9" s="101"/>
      <c r="G9" s="101"/>
      <c r="H9" s="101"/>
      <c r="I9" s="101"/>
      <c r="J9" s="101"/>
      <c r="K9" s="101"/>
      <c r="L9" s="101"/>
      <c r="M9" s="102"/>
      <c r="N9" s="113" t="s">
        <v>829</v>
      </c>
      <c r="O9" s="101"/>
      <c r="P9" s="101"/>
      <c r="Q9" s="101"/>
      <c r="R9" s="101"/>
      <c r="S9" s="101"/>
      <c r="T9" s="101"/>
      <c r="U9" s="101"/>
      <c r="V9" s="102"/>
      <c r="W9" s="113" t="s">
        <v>584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431</v>
      </c>
      <c r="F10" s="101"/>
      <c r="G10" s="101"/>
      <c r="H10" s="101"/>
      <c r="I10" s="101"/>
      <c r="J10" s="101"/>
      <c r="K10" s="101"/>
      <c r="L10" s="101"/>
      <c r="M10" s="102"/>
      <c r="N10" s="113" t="s">
        <v>212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159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426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737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0" si="0">ROW()-5</f>
        <v>1</v>
      </c>
      <c r="C6" s="101"/>
      <c r="D6" s="102"/>
      <c r="E6" s="113" t="s">
        <v>640</v>
      </c>
      <c r="F6" s="101"/>
      <c r="G6" s="101"/>
      <c r="H6" s="101"/>
      <c r="I6" s="101"/>
      <c r="J6" s="101"/>
      <c r="K6" s="101"/>
      <c r="L6" s="101"/>
      <c r="M6" s="102"/>
      <c r="N6" s="113" t="s">
        <v>738</v>
      </c>
      <c r="O6" s="101"/>
      <c r="P6" s="101"/>
      <c r="Q6" s="101"/>
      <c r="R6" s="101"/>
      <c r="S6" s="101"/>
      <c r="T6" s="101"/>
      <c r="U6" s="101"/>
      <c r="V6" s="102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21" customHeight="1">
      <c r="A7" s="1"/>
      <c r="B7" s="114">
        <f t="shared" si="0"/>
        <v>2</v>
      </c>
      <c r="C7" s="101"/>
      <c r="D7" s="102"/>
      <c r="E7" s="113" t="s">
        <v>202</v>
      </c>
      <c r="F7" s="101"/>
      <c r="G7" s="101"/>
      <c r="H7" s="101"/>
      <c r="I7" s="101"/>
      <c r="J7" s="101"/>
      <c r="K7" s="101"/>
      <c r="L7" s="101"/>
      <c r="M7" s="102"/>
      <c r="N7" s="113" t="s">
        <v>203</v>
      </c>
      <c r="O7" s="101"/>
      <c r="P7" s="101"/>
      <c r="Q7" s="101"/>
      <c r="R7" s="101"/>
      <c r="S7" s="101"/>
      <c r="T7" s="101"/>
      <c r="U7" s="101"/>
      <c r="V7" s="102"/>
      <c r="W7" s="118" t="s">
        <v>577</v>
      </c>
      <c r="X7" s="119"/>
      <c r="Y7" s="119"/>
      <c r="Z7" s="119"/>
      <c r="AA7" s="119"/>
      <c r="AB7" s="120"/>
      <c r="AC7" s="118"/>
      <c r="AD7" s="119"/>
      <c r="AE7" s="120"/>
      <c r="AF7" s="128" t="s">
        <v>198</v>
      </c>
      <c r="AG7" s="119"/>
      <c r="AH7" s="120"/>
      <c r="AI7" s="128"/>
      <c r="AJ7" s="120"/>
      <c r="AK7" s="128" t="s">
        <v>198</v>
      </c>
      <c r="AL7" s="120"/>
      <c r="AM7" s="128" t="s">
        <v>198</v>
      </c>
      <c r="AN7" s="120"/>
      <c r="AO7" s="118"/>
      <c r="AP7" s="119"/>
      <c r="AQ7" s="119"/>
      <c r="AR7" s="119"/>
      <c r="AS7" s="120"/>
      <c r="AT7" s="113" t="s">
        <v>843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619</v>
      </c>
      <c r="F8" s="101"/>
      <c r="G8" s="101"/>
      <c r="H8" s="101"/>
      <c r="I8" s="101"/>
      <c r="J8" s="101"/>
      <c r="K8" s="101"/>
      <c r="L8" s="101"/>
      <c r="M8" s="102"/>
      <c r="N8" s="113" t="s">
        <v>737</v>
      </c>
      <c r="O8" s="101"/>
      <c r="P8" s="101"/>
      <c r="Q8" s="101"/>
      <c r="R8" s="101"/>
      <c r="S8" s="101"/>
      <c r="T8" s="101"/>
      <c r="U8" s="101"/>
      <c r="V8" s="102"/>
      <c r="W8" s="118" t="s">
        <v>583</v>
      </c>
      <c r="X8" s="119"/>
      <c r="Y8" s="119"/>
      <c r="Z8" s="119"/>
      <c r="AA8" s="119"/>
      <c r="AB8" s="120"/>
      <c r="AC8" s="118" t="s">
        <v>228</v>
      </c>
      <c r="AD8" s="119"/>
      <c r="AE8" s="120"/>
      <c r="AF8" s="128" t="s">
        <v>198</v>
      </c>
      <c r="AG8" s="119"/>
      <c r="AH8" s="120"/>
      <c r="AI8" s="128"/>
      <c r="AJ8" s="120"/>
      <c r="AK8" s="128"/>
      <c r="AL8" s="120"/>
      <c r="AM8" s="128"/>
      <c r="AN8" s="120"/>
      <c r="AO8" s="118"/>
      <c r="AP8" s="119"/>
      <c r="AQ8" s="119"/>
      <c r="AR8" s="119"/>
      <c r="AS8" s="120"/>
      <c r="AT8" s="118" t="s">
        <v>229</v>
      </c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0"/>
    </row>
    <row r="9" spans="1:57" ht="21" customHeight="1">
      <c r="A9" s="1"/>
      <c r="B9" s="114">
        <f t="shared" si="0"/>
        <v>4</v>
      </c>
      <c r="C9" s="101"/>
      <c r="D9" s="102"/>
      <c r="E9" s="113" t="s">
        <v>4</v>
      </c>
      <c r="F9" s="101"/>
      <c r="G9" s="101"/>
      <c r="H9" s="101"/>
      <c r="I9" s="101"/>
      <c r="J9" s="101"/>
      <c r="K9" s="101"/>
      <c r="L9" s="101"/>
      <c r="M9" s="102"/>
      <c r="N9" s="118" t="s">
        <v>238</v>
      </c>
      <c r="O9" s="119"/>
      <c r="P9" s="119"/>
      <c r="Q9" s="119"/>
      <c r="R9" s="119"/>
      <c r="S9" s="119"/>
      <c r="T9" s="119"/>
      <c r="U9" s="119"/>
      <c r="V9" s="120"/>
      <c r="W9" s="118" t="s">
        <v>578</v>
      </c>
      <c r="X9" s="119"/>
      <c r="Y9" s="119"/>
      <c r="Z9" s="119"/>
      <c r="AA9" s="119"/>
      <c r="AB9" s="120"/>
      <c r="AC9" s="118"/>
      <c r="AD9" s="119"/>
      <c r="AE9" s="120"/>
      <c r="AF9" s="128" t="s">
        <v>198</v>
      </c>
      <c r="AG9" s="119"/>
      <c r="AH9" s="120"/>
      <c r="AI9" s="128"/>
      <c r="AJ9" s="120"/>
      <c r="AK9" s="128"/>
      <c r="AL9" s="120"/>
      <c r="AM9" s="128"/>
      <c r="AN9" s="120"/>
      <c r="AO9" s="118" t="s">
        <v>205</v>
      </c>
      <c r="AP9" s="119"/>
      <c r="AQ9" s="119"/>
      <c r="AR9" s="119"/>
      <c r="AS9" s="120"/>
      <c r="AT9" s="127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0"/>
    </row>
    <row r="10" spans="1:57" ht="21" customHeight="1">
      <c r="A10" s="1"/>
      <c r="B10" s="114">
        <f t="shared" si="0"/>
        <v>5</v>
      </c>
      <c r="C10" s="101"/>
      <c r="D10" s="102"/>
      <c r="E10" s="113" t="s">
        <v>22</v>
      </c>
      <c r="F10" s="101"/>
      <c r="G10" s="101"/>
      <c r="H10" s="101"/>
      <c r="I10" s="101"/>
      <c r="J10" s="101"/>
      <c r="K10" s="101"/>
      <c r="L10" s="101"/>
      <c r="M10" s="102"/>
      <c r="N10" s="118" t="s">
        <v>204</v>
      </c>
      <c r="O10" s="119"/>
      <c r="P10" s="119"/>
      <c r="Q10" s="119"/>
      <c r="R10" s="119"/>
      <c r="S10" s="119"/>
      <c r="T10" s="119"/>
      <c r="U10" s="119"/>
      <c r="V10" s="120"/>
      <c r="W10" s="118" t="s">
        <v>578</v>
      </c>
      <c r="X10" s="119"/>
      <c r="Y10" s="119"/>
      <c r="Z10" s="119"/>
      <c r="AA10" s="119"/>
      <c r="AB10" s="120"/>
      <c r="AC10" s="118"/>
      <c r="AD10" s="119"/>
      <c r="AE10" s="120"/>
      <c r="AF10" s="128" t="s">
        <v>198</v>
      </c>
      <c r="AG10" s="119"/>
      <c r="AH10" s="120"/>
      <c r="AI10" s="128"/>
      <c r="AJ10" s="120"/>
      <c r="AK10" s="128"/>
      <c r="AL10" s="120"/>
      <c r="AM10" s="128"/>
      <c r="AN10" s="120"/>
      <c r="AO10" s="118" t="s">
        <v>395</v>
      </c>
      <c r="AP10" s="119"/>
      <c r="AQ10" s="119"/>
      <c r="AR10" s="119"/>
      <c r="AS10" s="120"/>
      <c r="AT10" s="127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0"/>
    </row>
    <row r="11" spans="1:57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</row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161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426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739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1" si="0">ROW()-5</f>
        <v>1</v>
      </c>
      <c r="C6" s="101"/>
      <c r="D6" s="102"/>
      <c r="E6" s="113" t="s">
        <v>641</v>
      </c>
      <c r="F6" s="101"/>
      <c r="G6" s="101"/>
      <c r="H6" s="101"/>
      <c r="I6" s="101"/>
      <c r="J6" s="101"/>
      <c r="K6" s="101"/>
      <c r="L6" s="101"/>
      <c r="M6" s="102"/>
      <c r="N6" s="113" t="s">
        <v>740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202</v>
      </c>
      <c r="F7" s="101"/>
      <c r="G7" s="101"/>
      <c r="H7" s="101"/>
      <c r="I7" s="101"/>
      <c r="J7" s="101"/>
      <c r="K7" s="101"/>
      <c r="L7" s="101"/>
      <c r="M7" s="102"/>
      <c r="N7" s="113" t="s">
        <v>203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843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4" t="s">
        <v>254</v>
      </c>
      <c r="F8" s="101"/>
      <c r="G8" s="101"/>
      <c r="H8" s="101"/>
      <c r="I8" s="101"/>
      <c r="J8" s="101"/>
      <c r="K8" s="101"/>
      <c r="L8" s="101"/>
      <c r="M8" s="102"/>
      <c r="N8" s="113" t="s">
        <v>312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7" t="s">
        <v>851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4" t="s">
        <v>440</v>
      </c>
      <c r="F9" s="101"/>
      <c r="G9" s="101"/>
      <c r="H9" s="101"/>
      <c r="I9" s="101"/>
      <c r="J9" s="101"/>
      <c r="K9" s="101"/>
      <c r="L9" s="101"/>
      <c r="M9" s="102"/>
      <c r="N9" s="113" t="s">
        <v>831</v>
      </c>
      <c r="O9" s="101"/>
      <c r="P9" s="101"/>
      <c r="Q9" s="101"/>
      <c r="R9" s="101"/>
      <c r="S9" s="101"/>
      <c r="T9" s="101"/>
      <c r="U9" s="101"/>
      <c r="V9" s="102"/>
      <c r="W9" s="113" t="s">
        <v>584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431</v>
      </c>
      <c r="F10" s="101"/>
      <c r="G10" s="101"/>
      <c r="H10" s="101"/>
      <c r="I10" s="101"/>
      <c r="J10" s="101"/>
      <c r="K10" s="101"/>
      <c r="L10" s="101"/>
      <c r="M10" s="102"/>
      <c r="N10" s="113" t="s">
        <v>212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4</v>
      </c>
      <c r="F11" s="101"/>
      <c r="G11" s="101"/>
      <c r="H11" s="101"/>
      <c r="I11" s="101"/>
      <c r="J11" s="101"/>
      <c r="K11" s="101"/>
      <c r="L11" s="101"/>
      <c r="M11" s="102"/>
      <c r="N11" s="113" t="s">
        <v>238</v>
      </c>
      <c r="O11" s="101"/>
      <c r="P11" s="101"/>
      <c r="Q11" s="101"/>
      <c r="R11" s="101"/>
      <c r="S11" s="101"/>
      <c r="T11" s="101"/>
      <c r="U11" s="101"/>
      <c r="V11" s="102"/>
      <c r="W11" s="113" t="s">
        <v>578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 t="s">
        <v>205</v>
      </c>
      <c r="AP11" s="101"/>
      <c r="AQ11" s="101"/>
      <c r="AR11" s="101"/>
      <c r="AS11" s="102"/>
      <c r="AT11" s="116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163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442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9" si="0">ROW()-5</f>
        <v>1</v>
      </c>
      <c r="C6" s="101"/>
      <c r="D6" s="102"/>
      <c r="E6" s="113" t="s">
        <v>443</v>
      </c>
      <c r="F6" s="101"/>
      <c r="G6" s="101"/>
      <c r="H6" s="101"/>
      <c r="I6" s="101"/>
      <c r="J6" s="101"/>
      <c r="K6" s="101"/>
      <c r="L6" s="101"/>
      <c r="M6" s="102"/>
      <c r="N6" s="113" t="s">
        <v>852</v>
      </c>
      <c r="O6" s="101"/>
      <c r="P6" s="101"/>
      <c r="Q6" s="101"/>
      <c r="R6" s="101"/>
      <c r="S6" s="101"/>
      <c r="T6" s="101"/>
      <c r="U6" s="101"/>
      <c r="V6" s="102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82.5" customHeight="1">
      <c r="A7" s="1"/>
      <c r="B7" s="114">
        <f t="shared" si="0"/>
        <v>2</v>
      </c>
      <c r="C7" s="101"/>
      <c r="D7" s="102"/>
      <c r="E7" s="114" t="s">
        <v>224</v>
      </c>
      <c r="F7" s="101"/>
      <c r="G7" s="101"/>
      <c r="H7" s="101"/>
      <c r="I7" s="101"/>
      <c r="J7" s="101"/>
      <c r="K7" s="101"/>
      <c r="L7" s="101"/>
      <c r="M7" s="102"/>
      <c r="N7" s="118" t="s">
        <v>225</v>
      </c>
      <c r="O7" s="119"/>
      <c r="P7" s="119"/>
      <c r="Q7" s="119"/>
      <c r="R7" s="119"/>
      <c r="S7" s="119"/>
      <c r="T7" s="119"/>
      <c r="U7" s="119"/>
      <c r="V7" s="120"/>
      <c r="W7" s="118" t="s">
        <v>582</v>
      </c>
      <c r="X7" s="119"/>
      <c r="Y7" s="119"/>
      <c r="Z7" s="119"/>
      <c r="AA7" s="119"/>
      <c r="AB7" s="120"/>
      <c r="AC7" s="118" t="s">
        <v>78</v>
      </c>
      <c r="AD7" s="119"/>
      <c r="AE7" s="120"/>
      <c r="AF7" s="128" t="s">
        <v>198</v>
      </c>
      <c r="AG7" s="119"/>
      <c r="AH7" s="120"/>
      <c r="AI7" s="128"/>
      <c r="AJ7" s="120"/>
      <c r="AK7" s="128"/>
      <c r="AL7" s="120"/>
      <c r="AM7" s="128"/>
      <c r="AN7" s="120"/>
      <c r="AO7" s="118" t="s">
        <v>226</v>
      </c>
      <c r="AP7" s="119"/>
      <c r="AQ7" s="119"/>
      <c r="AR7" s="119"/>
      <c r="AS7" s="120"/>
      <c r="AT7" s="127" t="s">
        <v>444</v>
      </c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0"/>
    </row>
    <row r="8" spans="1:57" ht="21" customHeight="1">
      <c r="A8" s="1"/>
      <c r="B8" s="114">
        <f t="shared" si="0"/>
        <v>3</v>
      </c>
      <c r="C8" s="101"/>
      <c r="D8" s="102"/>
      <c r="E8" s="113" t="s">
        <v>4</v>
      </c>
      <c r="F8" s="101"/>
      <c r="G8" s="101"/>
      <c r="H8" s="101"/>
      <c r="I8" s="101"/>
      <c r="J8" s="101"/>
      <c r="K8" s="101"/>
      <c r="L8" s="101"/>
      <c r="M8" s="102"/>
      <c r="N8" s="118" t="s">
        <v>238</v>
      </c>
      <c r="O8" s="119"/>
      <c r="P8" s="119"/>
      <c r="Q8" s="119"/>
      <c r="R8" s="119"/>
      <c r="S8" s="119"/>
      <c r="T8" s="119"/>
      <c r="U8" s="119"/>
      <c r="V8" s="120"/>
      <c r="W8" s="118" t="s">
        <v>578</v>
      </c>
      <c r="X8" s="119"/>
      <c r="Y8" s="119"/>
      <c r="Z8" s="119"/>
      <c r="AA8" s="119"/>
      <c r="AB8" s="120"/>
      <c r="AC8" s="118"/>
      <c r="AD8" s="119"/>
      <c r="AE8" s="120"/>
      <c r="AF8" s="128" t="s">
        <v>198</v>
      </c>
      <c r="AG8" s="119"/>
      <c r="AH8" s="120"/>
      <c r="AI8" s="128"/>
      <c r="AJ8" s="120"/>
      <c r="AK8" s="128"/>
      <c r="AL8" s="120"/>
      <c r="AM8" s="128"/>
      <c r="AN8" s="120"/>
      <c r="AO8" s="118" t="s">
        <v>205</v>
      </c>
      <c r="AP8" s="119"/>
      <c r="AQ8" s="119"/>
      <c r="AR8" s="119"/>
      <c r="AS8" s="120"/>
      <c r="AT8" s="127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0"/>
    </row>
    <row r="9" spans="1:57" ht="21" customHeight="1">
      <c r="A9" s="1"/>
      <c r="B9" s="114">
        <f t="shared" si="0"/>
        <v>4</v>
      </c>
      <c r="C9" s="101"/>
      <c r="D9" s="102"/>
      <c r="E9" s="113" t="s">
        <v>22</v>
      </c>
      <c r="F9" s="101"/>
      <c r="G9" s="101"/>
      <c r="H9" s="101"/>
      <c r="I9" s="101"/>
      <c r="J9" s="101"/>
      <c r="K9" s="101"/>
      <c r="L9" s="101"/>
      <c r="M9" s="102"/>
      <c r="N9" s="118" t="s">
        <v>204</v>
      </c>
      <c r="O9" s="119"/>
      <c r="P9" s="119"/>
      <c r="Q9" s="119"/>
      <c r="R9" s="119"/>
      <c r="S9" s="119"/>
      <c r="T9" s="119"/>
      <c r="U9" s="119"/>
      <c r="V9" s="120"/>
      <c r="W9" s="118" t="s">
        <v>578</v>
      </c>
      <c r="X9" s="119"/>
      <c r="Y9" s="119"/>
      <c r="Z9" s="119"/>
      <c r="AA9" s="119"/>
      <c r="AB9" s="120"/>
      <c r="AC9" s="118"/>
      <c r="AD9" s="119"/>
      <c r="AE9" s="120"/>
      <c r="AF9" s="128" t="s">
        <v>198</v>
      </c>
      <c r="AG9" s="119"/>
      <c r="AH9" s="120"/>
      <c r="AI9" s="128"/>
      <c r="AJ9" s="120"/>
      <c r="AK9" s="128"/>
      <c r="AL9" s="120"/>
      <c r="AM9" s="128"/>
      <c r="AN9" s="120"/>
      <c r="AO9" s="118" t="s">
        <v>395</v>
      </c>
      <c r="AP9" s="119"/>
      <c r="AQ9" s="119"/>
      <c r="AR9" s="119"/>
      <c r="AS9" s="120"/>
      <c r="AT9" s="127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0"/>
    </row>
    <row r="10" spans="1:57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</row>
    <row r="11" spans="1:57" ht="21" customHeight="1"/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165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642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7" si="0">ROW()-5</f>
        <v>1</v>
      </c>
      <c r="C6" s="101"/>
      <c r="D6" s="102"/>
      <c r="E6" s="113" t="s">
        <v>445</v>
      </c>
      <c r="F6" s="101"/>
      <c r="G6" s="101"/>
      <c r="H6" s="101"/>
      <c r="I6" s="101"/>
      <c r="J6" s="101"/>
      <c r="K6" s="101"/>
      <c r="L6" s="101"/>
      <c r="M6" s="102"/>
      <c r="N6" s="118" t="s">
        <v>643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443</v>
      </c>
      <c r="F7" s="101"/>
      <c r="G7" s="101"/>
      <c r="H7" s="101"/>
      <c r="I7" s="101"/>
      <c r="J7" s="101"/>
      <c r="K7" s="101"/>
      <c r="L7" s="101"/>
      <c r="M7" s="102"/>
      <c r="N7" s="113" t="s">
        <v>446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853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254</v>
      </c>
      <c r="F8" s="101"/>
      <c r="G8" s="101"/>
      <c r="H8" s="101"/>
      <c r="I8" s="101"/>
      <c r="J8" s="101"/>
      <c r="K8" s="101"/>
      <c r="L8" s="101"/>
      <c r="M8" s="102"/>
      <c r="N8" s="113" t="s">
        <v>312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847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447</v>
      </c>
      <c r="F9" s="101"/>
      <c r="G9" s="101"/>
      <c r="H9" s="101"/>
      <c r="I9" s="101"/>
      <c r="J9" s="101"/>
      <c r="K9" s="101"/>
      <c r="L9" s="101"/>
      <c r="M9" s="102"/>
      <c r="N9" s="113" t="s">
        <v>448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843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449</v>
      </c>
      <c r="F10" s="101"/>
      <c r="G10" s="101"/>
      <c r="H10" s="101"/>
      <c r="I10" s="101"/>
      <c r="J10" s="101"/>
      <c r="K10" s="101"/>
      <c r="L10" s="101"/>
      <c r="M10" s="102"/>
      <c r="N10" s="113" t="s">
        <v>450</v>
      </c>
      <c r="O10" s="101"/>
      <c r="P10" s="101"/>
      <c r="Q10" s="101"/>
      <c r="R10" s="101"/>
      <c r="S10" s="101"/>
      <c r="T10" s="101"/>
      <c r="U10" s="101"/>
      <c r="V10" s="102"/>
      <c r="W10" s="113" t="s">
        <v>595</v>
      </c>
      <c r="X10" s="101"/>
      <c r="Y10" s="101"/>
      <c r="Z10" s="101"/>
      <c r="AA10" s="101"/>
      <c r="AB10" s="102"/>
      <c r="AC10" s="113" t="s">
        <v>451</v>
      </c>
      <c r="AD10" s="101"/>
      <c r="AE10" s="102"/>
      <c r="AF10" s="112" t="s">
        <v>198</v>
      </c>
      <c r="AG10" s="101"/>
      <c r="AH10" s="102"/>
      <c r="AI10" s="112"/>
      <c r="AJ10" s="102"/>
      <c r="AK10" s="112" t="s">
        <v>198</v>
      </c>
      <c r="AL10" s="102"/>
      <c r="AM10" s="112"/>
      <c r="AN10" s="102"/>
      <c r="AO10" s="113"/>
      <c r="AP10" s="101"/>
      <c r="AQ10" s="101"/>
      <c r="AR10" s="101"/>
      <c r="AS10" s="102"/>
      <c r="AT10" s="113" t="s">
        <v>452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453</v>
      </c>
      <c r="F11" s="101"/>
      <c r="G11" s="101"/>
      <c r="H11" s="101"/>
      <c r="I11" s="101"/>
      <c r="J11" s="101"/>
      <c r="K11" s="101"/>
      <c r="L11" s="101"/>
      <c r="M11" s="102"/>
      <c r="N11" s="113" t="s">
        <v>778</v>
      </c>
      <c r="O11" s="101"/>
      <c r="P11" s="101"/>
      <c r="Q11" s="101"/>
      <c r="R11" s="101"/>
      <c r="S11" s="101"/>
      <c r="T11" s="101"/>
      <c r="U11" s="101"/>
      <c r="V11" s="102"/>
      <c r="W11" s="113" t="s">
        <v>584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266</v>
      </c>
      <c r="F12" s="101"/>
      <c r="G12" s="101"/>
      <c r="H12" s="101"/>
      <c r="I12" s="101"/>
      <c r="J12" s="101"/>
      <c r="K12" s="101"/>
      <c r="L12" s="101"/>
      <c r="M12" s="102"/>
      <c r="N12" s="113" t="s">
        <v>267</v>
      </c>
      <c r="O12" s="101"/>
      <c r="P12" s="101"/>
      <c r="Q12" s="101"/>
      <c r="R12" s="101"/>
      <c r="S12" s="101"/>
      <c r="T12" s="101"/>
      <c r="U12" s="101"/>
      <c r="V12" s="102"/>
      <c r="W12" s="113" t="s">
        <v>591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4" t="s">
        <v>454</v>
      </c>
      <c r="F13" s="101"/>
      <c r="G13" s="101"/>
      <c r="H13" s="101"/>
      <c r="I13" s="101"/>
      <c r="J13" s="101"/>
      <c r="K13" s="101"/>
      <c r="L13" s="101"/>
      <c r="M13" s="102"/>
      <c r="N13" s="133" t="s">
        <v>709</v>
      </c>
      <c r="O13" s="101"/>
      <c r="P13" s="101"/>
      <c r="Q13" s="101"/>
      <c r="R13" s="101"/>
      <c r="S13" s="101"/>
      <c r="T13" s="101"/>
      <c r="U13" s="101"/>
      <c r="V13" s="102"/>
      <c r="W13" s="113" t="s">
        <v>583</v>
      </c>
      <c r="X13" s="101"/>
      <c r="Y13" s="101"/>
      <c r="Z13" s="101"/>
      <c r="AA13" s="101"/>
      <c r="AB13" s="102"/>
      <c r="AC13" s="113" t="s">
        <v>228</v>
      </c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13" t="s">
        <v>455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4" t="s">
        <v>435</v>
      </c>
      <c r="F14" s="101"/>
      <c r="G14" s="101"/>
      <c r="H14" s="101"/>
      <c r="I14" s="101"/>
      <c r="J14" s="101"/>
      <c r="K14" s="101"/>
      <c r="L14" s="101"/>
      <c r="M14" s="102"/>
      <c r="N14" s="114" t="s">
        <v>710</v>
      </c>
      <c r="O14" s="101"/>
      <c r="P14" s="101"/>
      <c r="Q14" s="101"/>
      <c r="R14" s="101"/>
      <c r="S14" s="101"/>
      <c r="T14" s="101"/>
      <c r="U14" s="101"/>
      <c r="V14" s="102"/>
      <c r="W14" s="113" t="s">
        <v>583</v>
      </c>
      <c r="X14" s="101"/>
      <c r="Y14" s="101"/>
      <c r="Z14" s="101"/>
      <c r="AA14" s="101"/>
      <c r="AB14" s="102"/>
      <c r="AC14" s="113" t="s">
        <v>228</v>
      </c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3" t="s">
        <v>456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14">
        <f t="shared" si="0"/>
        <v>10</v>
      </c>
      <c r="C15" s="101"/>
      <c r="D15" s="102"/>
      <c r="E15" s="114" t="s">
        <v>457</v>
      </c>
      <c r="F15" s="101"/>
      <c r="G15" s="101"/>
      <c r="H15" s="101"/>
      <c r="I15" s="101"/>
      <c r="J15" s="101"/>
      <c r="K15" s="101"/>
      <c r="L15" s="101"/>
      <c r="M15" s="102"/>
      <c r="N15" s="113" t="s">
        <v>711</v>
      </c>
      <c r="O15" s="101"/>
      <c r="P15" s="101"/>
      <c r="Q15" s="101"/>
      <c r="R15" s="101"/>
      <c r="S15" s="101"/>
      <c r="T15" s="101"/>
      <c r="U15" s="101"/>
      <c r="V15" s="102"/>
      <c r="W15" s="113" t="s">
        <v>583</v>
      </c>
      <c r="X15" s="101"/>
      <c r="Y15" s="101"/>
      <c r="Z15" s="101"/>
      <c r="AA15" s="101"/>
      <c r="AB15" s="102"/>
      <c r="AC15" s="113" t="s">
        <v>228</v>
      </c>
      <c r="AD15" s="101"/>
      <c r="AE15" s="102"/>
      <c r="AF15" s="112" t="s">
        <v>198</v>
      </c>
      <c r="AG15" s="101"/>
      <c r="AH15" s="102"/>
      <c r="AI15" s="112"/>
      <c r="AJ15" s="102"/>
      <c r="AK15" s="112"/>
      <c r="AL15" s="102"/>
      <c r="AM15" s="112"/>
      <c r="AN15" s="102"/>
      <c r="AO15" s="113"/>
      <c r="AP15" s="101"/>
      <c r="AQ15" s="101"/>
      <c r="AR15" s="101"/>
      <c r="AS15" s="102"/>
      <c r="AT15" s="113" t="s">
        <v>458</v>
      </c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3" t="s">
        <v>4</v>
      </c>
      <c r="F16" s="101"/>
      <c r="G16" s="101"/>
      <c r="H16" s="101"/>
      <c r="I16" s="101"/>
      <c r="J16" s="101"/>
      <c r="K16" s="101"/>
      <c r="L16" s="101"/>
      <c r="M16" s="102"/>
      <c r="N16" s="113" t="s">
        <v>238</v>
      </c>
      <c r="O16" s="101"/>
      <c r="P16" s="101"/>
      <c r="Q16" s="101"/>
      <c r="R16" s="101"/>
      <c r="S16" s="101"/>
      <c r="T16" s="101"/>
      <c r="U16" s="101"/>
      <c r="V16" s="102"/>
      <c r="W16" s="113" t="s">
        <v>578</v>
      </c>
      <c r="X16" s="101"/>
      <c r="Y16" s="101"/>
      <c r="Z16" s="101"/>
      <c r="AA16" s="101"/>
      <c r="AB16" s="102"/>
      <c r="AC16" s="113"/>
      <c r="AD16" s="101"/>
      <c r="AE16" s="102"/>
      <c r="AF16" s="112" t="s">
        <v>198</v>
      </c>
      <c r="AG16" s="101"/>
      <c r="AH16" s="102"/>
      <c r="AI16" s="112"/>
      <c r="AJ16" s="102"/>
      <c r="AK16" s="112"/>
      <c r="AL16" s="102"/>
      <c r="AM16" s="112"/>
      <c r="AN16" s="102"/>
      <c r="AO16" s="113" t="s">
        <v>205</v>
      </c>
      <c r="AP16" s="101"/>
      <c r="AQ16" s="101"/>
      <c r="AR16" s="101"/>
      <c r="AS16" s="102"/>
      <c r="AT16" s="116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3" t="s">
        <v>22</v>
      </c>
      <c r="F17" s="101"/>
      <c r="G17" s="101"/>
      <c r="H17" s="101"/>
      <c r="I17" s="101"/>
      <c r="J17" s="101"/>
      <c r="K17" s="101"/>
      <c r="L17" s="101"/>
      <c r="M17" s="102"/>
      <c r="N17" s="113" t="s">
        <v>204</v>
      </c>
      <c r="O17" s="101"/>
      <c r="P17" s="101"/>
      <c r="Q17" s="101"/>
      <c r="R17" s="101"/>
      <c r="S17" s="101"/>
      <c r="T17" s="101"/>
      <c r="U17" s="101"/>
      <c r="V17" s="102"/>
      <c r="W17" s="113" t="s">
        <v>578</v>
      </c>
      <c r="X17" s="101"/>
      <c r="Y17" s="101"/>
      <c r="Z17" s="101"/>
      <c r="AA17" s="101"/>
      <c r="AB17" s="102"/>
      <c r="AC17" s="113"/>
      <c r="AD17" s="101"/>
      <c r="AE17" s="102"/>
      <c r="AF17" s="112" t="s">
        <v>198</v>
      </c>
      <c r="AG17" s="101"/>
      <c r="AH17" s="102"/>
      <c r="AI17" s="112"/>
      <c r="AJ17" s="102"/>
      <c r="AK17" s="112"/>
      <c r="AL17" s="102"/>
      <c r="AM17" s="112"/>
      <c r="AN17" s="102"/>
      <c r="AO17" s="118" t="s">
        <v>395</v>
      </c>
      <c r="AP17" s="119"/>
      <c r="AQ17" s="119"/>
      <c r="AR17" s="119"/>
      <c r="AS17" s="120"/>
      <c r="AT17" s="116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21" customHeight="1"/>
    <row r="20" spans="1:57" ht="21" customHeight="1"/>
    <row r="21" spans="1:57" ht="21" customHeight="1"/>
    <row r="22" spans="1:57" ht="21" customHeight="1"/>
    <row r="23" spans="1:57" ht="21" customHeight="1"/>
    <row r="24" spans="1:57" ht="21" customHeight="1"/>
    <row r="25" spans="1:57" ht="21" customHeight="1"/>
    <row r="26" spans="1:57" ht="21" customHeight="1"/>
    <row r="27" spans="1:57" ht="21" customHeight="1"/>
    <row r="28" spans="1:57" ht="21" customHeight="1"/>
    <row r="29" spans="1:57" ht="21" customHeight="1"/>
    <row r="30" spans="1:57" ht="21" customHeight="1"/>
    <row r="31" spans="1:57" ht="21" customHeight="1"/>
    <row r="32" spans="1:57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167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683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3" si="0">ROW()-5</f>
        <v>1</v>
      </c>
      <c r="C6" s="101"/>
      <c r="D6" s="102"/>
      <c r="E6" s="113" t="s">
        <v>459</v>
      </c>
      <c r="F6" s="101"/>
      <c r="G6" s="101"/>
      <c r="H6" s="101"/>
      <c r="I6" s="101"/>
      <c r="J6" s="101"/>
      <c r="K6" s="101"/>
      <c r="L6" s="101"/>
      <c r="M6" s="102"/>
      <c r="N6" s="113" t="s">
        <v>684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443</v>
      </c>
      <c r="F7" s="101"/>
      <c r="G7" s="101"/>
      <c r="H7" s="101"/>
      <c r="I7" s="101"/>
      <c r="J7" s="101"/>
      <c r="K7" s="101"/>
      <c r="L7" s="101"/>
      <c r="M7" s="102"/>
      <c r="N7" s="113" t="s">
        <v>446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854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460</v>
      </c>
      <c r="F8" s="101"/>
      <c r="G8" s="101"/>
      <c r="H8" s="101"/>
      <c r="I8" s="101"/>
      <c r="J8" s="101"/>
      <c r="K8" s="101"/>
      <c r="L8" s="101"/>
      <c r="M8" s="102"/>
      <c r="N8" s="113" t="s">
        <v>832</v>
      </c>
      <c r="O8" s="101"/>
      <c r="P8" s="101"/>
      <c r="Q8" s="101"/>
      <c r="R8" s="101"/>
      <c r="S8" s="101"/>
      <c r="T8" s="101"/>
      <c r="U8" s="101"/>
      <c r="V8" s="102"/>
      <c r="W8" s="113" t="s">
        <v>596</v>
      </c>
      <c r="X8" s="101"/>
      <c r="Y8" s="101"/>
      <c r="Z8" s="101"/>
      <c r="AA8" s="101"/>
      <c r="AB8" s="102"/>
      <c r="AC8" s="113" t="s">
        <v>867</v>
      </c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6" t="s">
        <v>833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241</v>
      </c>
      <c r="F9" s="101"/>
      <c r="G9" s="101"/>
      <c r="H9" s="101"/>
      <c r="I9" s="101"/>
      <c r="J9" s="101"/>
      <c r="K9" s="101"/>
      <c r="L9" s="101"/>
      <c r="M9" s="102"/>
      <c r="N9" s="113" t="s">
        <v>242</v>
      </c>
      <c r="O9" s="101"/>
      <c r="P9" s="101"/>
      <c r="Q9" s="101"/>
      <c r="R9" s="101"/>
      <c r="S9" s="101"/>
      <c r="T9" s="101"/>
      <c r="U9" s="101"/>
      <c r="V9" s="102"/>
      <c r="W9" s="113" t="s">
        <v>578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243</v>
      </c>
      <c r="F10" s="101"/>
      <c r="G10" s="101"/>
      <c r="H10" s="101"/>
      <c r="I10" s="101"/>
      <c r="J10" s="101"/>
      <c r="K10" s="101"/>
      <c r="L10" s="101"/>
      <c r="M10" s="102"/>
      <c r="N10" s="113" t="s">
        <v>244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245</v>
      </c>
      <c r="F11" s="101"/>
      <c r="G11" s="101"/>
      <c r="H11" s="101"/>
      <c r="I11" s="101"/>
      <c r="J11" s="101"/>
      <c r="K11" s="101"/>
      <c r="L11" s="101"/>
      <c r="M11" s="102"/>
      <c r="N11" s="113" t="s">
        <v>246</v>
      </c>
      <c r="O11" s="101"/>
      <c r="P11" s="101"/>
      <c r="Q11" s="101"/>
      <c r="R11" s="101"/>
      <c r="S11" s="101"/>
      <c r="T11" s="101"/>
      <c r="U11" s="101"/>
      <c r="V11" s="102"/>
      <c r="W11" s="113" t="s">
        <v>587</v>
      </c>
      <c r="X11" s="101"/>
      <c r="Y11" s="101"/>
      <c r="Z11" s="101"/>
      <c r="AA11" s="101"/>
      <c r="AB11" s="102"/>
      <c r="AC11" s="113" t="s">
        <v>247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248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249</v>
      </c>
      <c r="F12" s="101"/>
      <c r="G12" s="101"/>
      <c r="H12" s="101"/>
      <c r="I12" s="101"/>
      <c r="J12" s="101"/>
      <c r="K12" s="101"/>
      <c r="L12" s="101"/>
      <c r="M12" s="102"/>
      <c r="N12" s="113" t="s">
        <v>250</v>
      </c>
      <c r="O12" s="101"/>
      <c r="P12" s="101"/>
      <c r="Q12" s="101"/>
      <c r="R12" s="101"/>
      <c r="S12" s="101"/>
      <c r="T12" s="101"/>
      <c r="U12" s="101"/>
      <c r="V12" s="102"/>
      <c r="W12" s="113" t="s">
        <v>588</v>
      </c>
      <c r="X12" s="101"/>
      <c r="Y12" s="101"/>
      <c r="Z12" s="101"/>
      <c r="AA12" s="101"/>
      <c r="AB12" s="102"/>
      <c r="AC12" s="113" t="s">
        <v>251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252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169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685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3" si="0">ROW()-5</f>
        <v>1</v>
      </c>
      <c r="C6" s="101"/>
      <c r="D6" s="102"/>
      <c r="E6" s="113" t="s">
        <v>644</v>
      </c>
      <c r="F6" s="101"/>
      <c r="G6" s="101"/>
      <c r="H6" s="101"/>
      <c r="I6" s="101"/>
      <c r="J6" s="101"/>
      <c r="K6" s="101"/>
      <c r="L6" s="101"/>
      <c r="M6" s="102"/>
      <c r="N6" s="113" t="s">
        <v>686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443</v>
      </c>
      <c r="F7" s="101"/>
      <c r="G7" s="101"/>
      <c r="H7" s="101"/>
      <c r="I7" s="101"/>
      <c r="J7" s="101"/>
      <c r="K7" s="101"/>
      <c r="L7" s="101"/>
      <c r="M7" s="102"/>
      <c r="N7" s="113" t="s">
        <v>446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854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461</v>
      </c>
      <c r="F8" s="101"/>
      <c r="G8" s="101"/>
      <c r="H8" s="101"/>
      <c r="I8" s="101"/>
      <c r="J8" s="101"/>
      <c r="K8" s="101"/>
      <c r="L8" s="101"/>
      <c r="M8" s="102"/>
      <c r="N8" s="113" t="s">
        <v>834</v>
      </c>
      <c r="O8" s="101"/>
      <c r="P8" s="101"/>
      <c r="Q8" s="101"/>
      <c r="R8" s="101"/>
      <c r="S8" s="101"/>
      <c r="T8" s="101"/>
      <c r="U8" s="101"/>
      <c r="V8" s="102"/>
      <c r="W8" s="113" t="s">
        <v>596</v>
      </c>
      <c r="X8" s="101"/>
      <c r="Y8" s="101"/>
      <c r="Z8" s="101"/>
      <c r="AA8" s="101"/>
      <c r="AB8" s="102"/>
      <c r="AC8" s="113" t="s">
        <v>867</v>
      </c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 t="s">
        <v>462</v>
      </c>
      <c r="AP8" s="101"/>
      <c r="AQ8" s="101"/>
      <c r="AR8" s="101"/>
      <c r="AS8" s="102"/>
      <c r="AT8" s="116" t="s">
        <v>833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463</v>
      </c>
      <c r="F9" s="101"/>
      <c r="G9" s="101"/>
      <c r="H9" s="101"/>
      <c r="I9" s="101"/>
      <c r="J9" s="101"/>
      <c r="K9" s="101"/>
      <c r="L9" s="101"/>
      <c r="M9" s="102"/>
      <c r="N9" s="113" t="s">
        <v>464</v>
      </c>
      <c r="O9" s="101"/>
      <c r="P9" s="101"/>
      <c r="Q9" s="101"/>
      <c r="R9" s="101"/>
      <c r="S9" s="101"/>
      <c r="T9" s="101"/>
      <c r="U9" s="101"/>
      <c r="V9" s="102"/>
      <c r="W9" s="113" t="s">
        <v>578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465</v>
      </c>
      <c r="F10" s="101"/>
      <c r="G10" s="101"/>
      <c r="H10" s="101"/>
      <c r="I10" s="101"/>
      <c r="J10" s="101"/>
      <c r="K10" s="101"/>
      <c r="L10" s="101"/>
      <c r="M10" s="102"/>
      <c r="N10" s="113" t="s">
        <v>466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245</v>
      </c>
      <c r="F11" s="101"/>
      <c r="G11" s="101"/>
      <c r="H11" s="101"/>
      <c r="I11" s="101"/>
      <c r="J11" s="101"/>
      <c r="K11" s="101"/>
      <c r="L11" s="101"/>
      <c r="M11" s="102"/>
      <c r="N11" s="113" t="s">
        <v>246</v>
      </c>
      <c r="O11" s="101"/>
      <c r="P11" s="101"/>
      <c r="Q11" s="101"/>
      <c r="R11" s="101"/>
      <c r="S11" s="101"/>
      <c r="T11" s="101"/>
      <c r="U11" s="101"/>
      <c r="V11" s="102"/>
      <c r="W11" s="113" t="s">
        <v>587</v>
      </c>
      <c r="X11" s="101"/>
      <c r="Y11" s="101"/>
      <c r="Z11" s="101"/>
      <c r="AA11" s="101"/>
      <c r="AB11" s="102"/>
      <c r="AC11" s="113" t="s">
        <v>247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248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249</v>
      </c>
      <c r="F12" s="101"/>
      <c r="G12" s="101"/>
      <c r="H12" s="101"/>
      <c r="I12" s="101"/>
      <c r="J12" s="101"/>
      <c r="K12" s="101"/>
      <c r="L12" s="101"/>
      <c r="M12" s="102"/>
      <c r="N12" s="113" t="s">
        <v>250</v>
      </c>
      <c r="O12" s="101"/>
      <c r="P12" s="101"/>
      <c r="Q12" s="101"/>
      <c r="R12" s="101"/>
      <c r="S12" s="101"/>
      <c r="T12" s="101"/>
      <c r="U12" s="101"/>
      <c r="V12" s="102"/>
      <c r="W12" s="113" t="s">
        <v>588</v>
      </c>
      <c r="X12" s="101"/>
      <c r="Y12" s="101"/>
      <c r="Z12" s="101"/>
      <c r="AA12" s="101"/>
      <c r="AB12" s="102"/>
      <c r="AC12" s="113" t="s">
        <v>251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252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171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657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645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9" si="0">ROW()-5</f>
        <v>1</v>
      </c>
      <c r="C6" s="101"/>
      <c r="D6" s="102"/>
      <c r="E6" s="113" t="s">
        <v>467</v>
      </c>
      <c r="F6" s="101"/>
      <c r="G6" s="101"/>
      <c r="H6" s="101"/>
      <c r="I6" s="101"/>
      <c r="J6" s="101"/>
      <c r="K6" s="101"/>
      <c r="L6" s="101"/>
      <c r="M6" s="102"/>
      <c r="N6" s="118" t="s">
        <v>646</v>
      </c>
      <c r="O6" s="119"/>
      <c r="P6" s="119"/>
      <c r="Q6" s="119"/>
      <c r="R6" s="119"/>
      <c r="S6" s="119"/>
      <c r="T6" s="119"/>
      <c r="U6" s="119"/>
      <c r="V6" s="120"/>
      <c r="W6" s="118" t="s">
        <v>579</v>
      </c>
      <c r="X6" s="119"/>
      <c r="Y6" s="119"/>
      <c r="Z6" s="119"/>
      <c r="AA6" s="119"/>
      <c r="AB6" s="120"/>
      <c r="AC6" s="118"/>
      <c r="AD6" s="119"/>
      <c r="AE6" s="120"/>
      <c r="AF6" s="128" t="s">
        <v>198</v>
      </c>
      <c r="AG6" s="119"/>
      <c r="AH6" s="120"/>
      <c r="AI6" s="128" t="s">
        <v>198</v>
      </c>
      <c r="AJ6" s="120"/>
      <c r="AK6" s="128" t="s">
        <v>198</v>
      </c>
      <c r="AL6" s="120"/>
      <c r="AM6" s="128"/>
      <c r="AN6" s="120"/>
      <c r="AO6" s="118"/>
      <c r="AP6" s="119"/>
      <c r="AQ6" s="119"/>
      <c r="AR6" s="119"/>
      <c r="AS6" s="120"/>
      <c r="AT6" s="118" t="s">
        <v>199</v>
      </c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83.25" customHeight="1">
      <c r="A7" s="1"/>
      <c r="B7" s="114">
        <f t="shared" si="0"/>
        <v>2</v>
      </c>
      <c r="C7" s="101"/>
      <c r="D7" s="102"/>
      <c r="E7" s="114" t="s">
        <v>224</v>
      </c>
      <c r="F7" s="101"/>
      <c r="G7" s="101"/>
      <c r="H7" s="101"/>
      <c r="I7" s="101"/>
      <c r="J7" s="101"/>
      <c r="K7" s="101"/>
      <c r="L7" s="101"/>
      <c r="M7" s="102"/>
      <c r="N7" s="118" t="s">
        <v>225</v>
      </c>
      <c r="O7" s="119"/>
      <c r="P7" s="119"/>
      <c r="Q7" s="119"/>
      <c r="R7" s="119"/>
      <c r="S7" s="119"/>
      <c r="T7" s="119"/>
      <c r="U7" s="119"/>
      <c r="V7" s="120"/>
      <c r="W7" s="118" t="s">
        <v>582</v>
      </c>
      <c r="X7" s="119"/>
      <c r="Y7" s="119"/>
      <c r="Z7" s="119"/>
      <c r="AA7" s="119"/>
      <c r="AB7" s="120"/>
      <c r="AC7" s="118" t="s">
        <v>78</v>
      </c>
      <c r="AD7" s="119"/>
      <c r="AE7" s="120"/>
      <c r="AF7" s="128" t="s">
        <v>198</v>
      </c>
      <c r="AG7" s="119"/>
      <c r="AH7" s="120"/>
      <c r="AI7" s="128"/>
      <c r="AJ7" s="120"/>
      <c r="AK7" s="128"/>
      <c r="AL7" s="120"/>
      <c r="AM7" s="128"/>
      <c r="AN7" s="120"/>
      <c r="AO7" s="118" t="s">
        <v>226</v>
      </c>
      <c r="AP7" s="119"/>
      <c r="AQ7" s="119"/>
      <c r="AR7" s="119"/>
      <c r="AS7" s="120"/>
      <c r="AT7" s="127" t="s">
        <v>444</v>
      </c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0"/>
    </row>
    <row r="8" spans="1:57" ht="21" customHeight="1">
      <c r="A8" s="1"/>
      <c r="B8" s="114">
        <f t="shared" si="0"/>
        <v>3</v>
      </c>
      <c r="C8" s="101"/>
      <c r="D8" s="102"/>
      <c r="E8" s="113" t="s">
        <v>4</v>
      </c>
      <c r="F8" s="101"/>
      <c r="G8" s="101"/>
      <c r="H8" s="101"/>
      <c r="I8" s="101"/>
      <c r="J8" s="101"/>
      <c r="K8" s="101"/>
      <c r="L8" s="101"/>
      <c r="M8" s="102"/>
      <c r="N8" s="118" t="s">
        <v>238</v>
      </c>
      <c r="O8" s="119"/>
      <c r="P8" s="119"/>
      <c r="Q8" s="119"/>
      <c r="R8" s="119"/>
      <c r="S8" s="119"/>
      <c r="T8" s="119"/>
      <c r="U8" s="119"/>
      <c r="V8" s="120"/>
      <c r="W8" s="118" t="s">
        <v>578</v>
      </c>
      <c r="X8" s="119"/>
      <c r="Y8" s="119"/>
      <c r="Z8" s="119"/>
      <c r="AA8" s="119"/>
      <c r="AB8" s="120"/>
      <c r="AC8" s="118"/>
      <c r="AD8" s="119"/>
      <c r="AE8" s="120"/>
      <c r="AF8" s="128" t="s">
        <v>198</v>
      </c>
      <c r="AG8" s="119"/>
      <c r="AH8" s="120"/>
      <c r="AI8" s="128"/>
      <c r="AJ8" s="120"/>
      <c r="AK8" s="128"/>
      <c r="AL8" s="120"/>
      <c r="AM8" s="128"/>
      <c r="AN8" s="120"/>
      <c r="AO8" s="118" t="s">
        <v>205</v>
      </c>
      <c r="AP8" s="119"/>
      <c r="AQ8" s="119"/>
      <c r="AR8" s="119"/>
      <c r="AS8" s="120"/>
      <c r="AT8" s="127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0"/>
    </row>
    <row r="9" spans="1:57" ht="21" customHeight="1">
      <c r="A9" s="1"/>
      <c r="B9" s="114">
        <f t="shared" si="0"/>
        <v>4</v>
      </c>
      <c r="C9" s="101"/>
      <c r="D9" s="102"/>
      <c r="E9" s="113" t="s">
        <v>22</v>
      </c>
      <c r="F9" s="101"/>
      <c r="G9" s="101"/>
      <c r="H9" s="101"/>
      <c r="I9" s="101"/>
      <c r="J9" s="101"/>
      <c r="K9" s="101"/>
      <c r="L9" s="101"/>
      <c r="M9" s="102"/>
      <c r="N9" s="118" t="s">
        <v>204</v>
      </c>
      <c r="O9" s="119"/>
      <c r="P9" s="119"/>
      <c r="Q9" s="119"/>
      <c r="R9" s="119"/>
      <c r="S9" s="119"/>
      <c r="T9" s="119"/>
      <c r="U9" s="119"/>
      <c r="V9" s="120"/>
      <c r="W9" s="118" t="s">
        <v>578</v>
      </c>
      <c r="X9" s="119"/>
      <c r="Y9" s="119"/>
      <c r="Z9" s="119"/>
      <c r="AA9" s="119"/>
      <c r="AB9" s="120"/>
      <c r="AC9" s="118"/>
      <c r="AD9" s="119"/>
      <c r="AE9" s="120"/>
      <c r="AF9" s="128" t="s">
        <v>198</v>
      </c>
      <c r="AG9" s="119"/>
      <c r="AH9" s="120"/>
      <c r="AI9" s="128"/>
      <c r="AJ9" s="120"/>
      <c r="AK9" s="128"/>
      <c r="AL9" s="120"/>
      <c r="AM9" s="128"/>
      <c r="AN9" s="120"/>
      <c r="AO9" s="118" t="s">
        <v>395</v>
      </c>
      <c r="AP9" s="119"/>
      <c r="AQ9" s="119"/>
      <c r="AR9" s="119"/>
      <c r="AS9" s="120"/>
      <c r="AT9" s="127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0"/>
    </row>
    <row r="10" spans="1:57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</row>
    <row r="11" spans="1:57" ht="21" customHeight="1"/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173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647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7" si="0">ROW()-5</f>
        <v>1</v>
      </c>
      <c r="C6" s="101"/>
      <c r="D6" s="102"/>
      <c r="E6" s="113" t="s">
        <v>468</v>
      </c>
      <c r="F6" s="101"/>
      <c r="G6" s="101"/>
      <c r="H6" s="101"/>
      <c r="I6" s="101"/>
      <c r="J6" s="101"/>
      <c r="K6" s="101"/>
      <c r="L6" s="101"/>
      <c r="M6" s="102"/>
      <c r="N6" s="118" t="s">
        <v>648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467</v>
      </c>
      <c r="F7" s="101"/>
      <c r="G7" s="101"/>
      <c r="H7" s="101"/>
      <c r="I7" s="101"/>
      <c r="J7" s="101"/>
      <c r="K7" s="101"/>
      <c r="L7" s="101"/>
      <c r="M7" s="102"/>
      <c r="N7" s="113" t="s">
        <v>469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855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254</v>
      </c>
      <c r="F8" s="101"/>
      <c r="G8" s="101"/>
      <c r="H8" s="101"/>
      <c r="I8" s="101"/>
      <c r="J8" s="101"/>
      <c r="K8" s="101"/>
      <c r="L8" s="101"/>
      <c r="M8" s="102"/>
      <c r="N8" s="113" t="s">
        <v>312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847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470</v>
      </c>
      <c r="F9" s="101"/>
      <c r="G9" s="101"/>
      <c r="H9" s="101"/>
      <c r="I9" s="101"/>
      <c r="J9" s="101"/>
      <c r="K9" s="101"/>
      <c r="L9" s="101"/>
      <c r="M9" s="102"/>
      <c r="N9" s="113" t="s">
        <v>471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843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4" t="s">
        <v>472</v>
      </c>
      <c r="F10" s="101"/>
      <c r="G10" s="101"/>
      <c r="H10" s="101"/>
      <c r="I10" s="101"/>
      <c r="J10" s="101"/>
      <c r="K10" s="101"/>
      <c r="L10" s="101"/>
      <c r="M10" s="102"/>
      <c r="N10" s="113" t="s">
        <v>473</v>
      </c>
      <c r="O10" s="101"/>
      <c r="P10" s="101"/>
      <c r="Q10" s="101"/>
      <c r="R10" s="101"/>
      <c r="S10" s="101"/>
      <c r="T10" s="101"/>
      <c r="U10" s="101"/>
      <c r="V10" s="102"/>
      <c r="W10" s="113" t="s">
        <v>595</v>
      </c>
      <c r="X10" s="101"/>
      <c r="Y10" s="101"/>
      <c r="Z10" s="101"/>
      <c r="AA10" s="101"/>
      <c r="AB10" s="102"/>
      <c r="AC10" s="113" t="s">
        <v>451</v>
      </c>
      <c r="AD10" s="101"/>
      <c r="AE10" s="102"/>
      <c r="AF10" s="112" t="s">
        <v>198</v>
      </c>
      <c r="AG10" s="101"/>
      <c r="AH10" s="102"/>
      <c r="AI10" s="112"/>
      <c r="AJ10" s="102"/>
      <c r="AK10" s="112" t="s">
        <v>198</v>
      </c>
      <c r="AL10" s="102"/>
      <c r="AM10" s="112"/>
      <c r="AN10" s="102"/>
      <c r="AO10" s="113"/>
      <c r="AP10" s="101"/>
      <c r="AQ10" s="101"/>
      <c r="AR10" s="101"/>
      <c r="AS10" s="102"/>
      <c r="AT10" s="113" t="s">
        <v>452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4" t="s">
        <v>428</v>
      </c>
      <c r="F11" s="101"/>
      <c r="G11" s="101"/>
      <c r="H11" s="101"/>
      <c r="I11" s="101"/>
      <c r="J11" s="101"/>
      <c r="K11" s="101"/>
      <c r="L11" s="101"/>
      <c r="M11" s="102"/>
      <c r="N11" s="113" t="s">
        <v>828</v>
      </c>
      <c r="O11" s="101"/>
      <c r="P11" s="101"/>
      <c r="Q11" s="101"/>
      <c r="R11" s="101"/>
      <c r="S11" s="101"/>
      <c r="T11" s="101"/>
      <c r="U11" s="101"/>
      <c r="V11" s="102"/>
      <c r="W11" s="113" t="s">
        <v>584</v>
      </c>
      <c r="X11" s="101"/>
      <c r="Y11" s="101"/>
      <c r="Z11" s="101"/>
      <c r="AA11" s="101"/>
      <c r="AB11" s="102"/>
      <c r="AC11" s="113"/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4" t="s">
        <v>266</v>
      </c>
      <c r="F12" s="101"/>
      <c r="G12" s="101"/>
      <c r="H12" s="101"/>
      <c r="I12" s="101"/>
      <c r="J12" s="101"/>
      <c r="K12" s="101"/>
      <c r="L12" s="101"/>
      <c r="M12" s="102"/>
      <c r="N12" s="113" t="s">
        <v>267</v>
      </c>
      <c r="O12" s="101"/>
      <c r="P12" s="101"/>
      <c r="Q12" s="101"/>
      <c r="R12" s="101"/>
      <c r="S12" s="101"/>
      <c r="T12" s="101"/>
      <c r="U12" s="101"/>
      <c r="V12" s="102"/>
      <c r="W12" s="113" t="s">
        <v>591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2.5" customHeight="1">
      <c r="A13" s="1"/>
      <c r="B13" s="114">
        <f t="shared" si="0"/>
        <v>8</v>
      </c>
      <c r="C13" s="101"/>
      <c r="D13" s="102"/>
      <c r="E13" s="114" t="s">
        <v>474</v>
      </c>
      <c r="F13" s="101"/>
      <c r="G13" s="101"/>
      <c r="H13" s="101"/>
      <c r="I13" s="101"/>
      <c r="J13" s="101"/>
      <c r="K13" s="101"/>
      <c r="L13" s="101"/>
      <c r="M13" s="102"/>
      <c r="N13" s="133" t="s">
        <v>712</v>
      </c>
      <c r="O13" s="101"/>
      <c r="P13" s="101"/>
      <c r="Q13" s="101"/>
      <c r="R13" s="101"/>
      <c r="S13" s="101"/>
      <c r="T13" s="101"/>
      <c r="U13" s="101"/>
      <c r="V13" s="102"/>
      <c r="W13" s="113" t="s">
        <v>583</v>
      </c>
      <c r="X13" s="101"/>
      <c r="Y13" s="101"/>
      <c r="Z13" s="101"/>
      <c r="AA13" s="101"/>
      <c r="AB13" s="102"/>
      <c r="AC13" s="113" t="s">
        <v>228</v>
      </c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/>
      <c r="AP13" s="101"/>
      <c r="AQ13" s="101"/>
      <c r="AR13" s="101"/>
      <c r="AS13" s="102"/>
      <c r="AT13" s="113" t="s">
        <v>455</v>
      </c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0.25" customHeight="1">
      <c r="A14" s="1"/>
      <c r="B14" s="114">
        <f t="shared" si="0"/>
        <v>9</v>
      </c>
      <c r="C14" s="101"/>
      <c r="D14" s="102"/>
      <c r="E14" s="114" t="s">
        <v>435</v>
      </c>
      <c r="F14" s="101"/>
      <c r="G14" s="101"/>
      <c r="H14" s="101"/>
      <c r="I14" s="101"/>
      <c r="J14" s="101"/>
      <c r="K14" s="101"/>
      <c r="L14" s="101"/>
      <c r="M14" s="102"/>
      <c r="N14" s="134" t="s">
        <v>710</v>
      </c>
      <c r="O14" s="135"/>
      <c r="P14" s="135"/>
      <c r="Q14" s="135"/>
      <c r="R14" s="135"/>
      <c r="S14" s="135"/>
      <c r="T14" s="135"/>
      <c r="U14" s="135"/>
      <c r="V14" s="136"/>
      <c r="W14" s="113" t="s">
        <v>583</v>
      </c>
      <c r="X14" s="101"/>
      <c r="Y14" s="101"/>
      <c r="Z14" s="101"/>
      <c r="AA14" s="101"/>
      <c r="AB14" s="102"/>
      <c r="AC14" s="113" t="s">
        <v>228</v>
      </c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13"/>
      <c r="AP14" s="101"/>
      <c r="AQ14" s="101"/>
      <c r="AR14" s="101"/>
      <c r="AS14" s="102"/>
      <c r="AT14" s="113" t="s">
        <v>456</v>
      </c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9.5" customHeight="1">
      <c r="A15" s="1"/>
      <c r="B15" s="114">
        <f t="shared" si="0"/>
        <v>10</v>
      </c>
      <c r="C15" s="101"/>
      <c r="D15" s="102"/>
      <c r="E15" s="114" t="s">
        <v>475</v>
      </c>
      <c r="F15" s="101"/>
      <c r="G15" s="101"/>
      <c r="H15" s="101"/>
      <c r="I15" s="101"/>
      <c r="J15" s="101"/>
      <c r="K15" s="101"/>
      <c r="L15" s="101"/>
      <c r="M15" s="102"/>
      <c r="N15" s="113" t="s">
        <v>713</v>
      </c>
      <c r="O15" s="101"/>
      <c r="P15" s="101"/>
      <c r="Q15" s="101"/>
      <c r="R15" s="101"/>
      <c r="S15" s="101"/>
      <c r="T15" s="101"/>
      <c r="U15" s="101"/>
      <c r="V15" s="102"/>
      <c r="W15" s="113" t="s">
        <v>583</v>
      </c>
      <c r="X15" s="101"/>
      <c r="Y15" s="101"/>
      <c r="Z15" s="101"/>
      <c r="AA15" s="101"/>
      <c r="AB15" s="102"/>
      <c r="AC15" s="113" t="s">
        <v>228</v>
      </c>
      <c r="AD15" s="101"/>
      <c r="AE15" s="102"/>
      <c r="AF15" s="112" t="s">
        <v>198</v>
      </c>
      <c r="AG15" s="101"/>
      <c r="AH15" s="102"/>
      <c r="AI15" s="112"/>
      <c r="AJ15" s="102"/>
      <c r="AK15" s="112"/>
      <c r="AL15" s="102"/>
      <c r="AM15" s="112"/>
      <c r="AN15" s="102"/>
      <c r="AO15" s="113"/>
      <c r="AP15" s="101"/>
      <c r="AQ15" s="101"/>
      <c r="AR15" s="101"/>
      <c r="AS15" s="102"/>
      <c r="AT15" s="113" t="s">
        <v>458</v>
      </c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21" customHeight="1">
      <c r="A16" s="1"/>
      <c r="B16" s="114">
        <f t="shared" si="0"/>
        <v>11</v>
      </c>
      <c r="C16" s="101"/>
      <c r="D16" s="102"/>
      <c r="E16" s="113" t="s">
        <v>4</v>
      </c>
      <c r="F16" s="101"/>
      <c r="G16" s="101"/>
      <c r="H16" s="101"/>
      <c r="I16" s="101"/>
      <c r="J16" s="101"/>
      <c r="K16" s="101"/>
      <c r="L16" s="101"/>
      <c r="M16" s="102"/>
      <c r="N16" s="113" t="s">
        <v>238</v>
      </c>
      <c r="O16" s="101"/>
      <c r="P16" s="101"/>
      <c r="Q16" s="101"/>
      <c r="R16" s="101"/>
      <c r="S16" s="101"/>
      <c r="T16" s="101"/>
      <c r="U16" s="101"/>
      <c r="V16" s="102"/>
      <c r="W16" s="113" t="s">
        <v>578</v>
      </c>
      <c r="X16" s="101"/>
      <c r="Y16" s="101"/>
      <c r="Z16" s="101"/>
      <c r="AA16" s="101"/>
      <c r="AB16" s="102"/>
      <c r="AC16" s="113"/>
      <c r="AD16" s="101"/>
      <c r="AE16" s="102"/>
      <c r="AF16" s="112" t="s">
        <v>198</v>
      </c>
      <c r="AG16" s="101"/>
      <c r="AH16" s="102"/>
      <c r="AI16" s="112"/>
      <c r="AJ16" s="102"/>
      <c r="AK16" s="112"/>
      <c r="AL16" s="102"/>
      <c r="AM16" s="112"/>
      <c r="AN16" s="102"/>
      <c r="AO16" s="113" t="s">
        <v>205</v>
      </c>
      <c r="AP16" s="101"/>
      <c r="AQ16" s="101"/>
      <c r="AR16" s="101"/>
      <c r="AS16" s="102"/>
      <c r="AT16" s="116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3" t="s">
        <v>22</v>
      </c>
      <c r="F17" s="101"/>
      <c r="G17" s="101"/>
      <c r="H17" s="101"/>
      <c r="I17" s="101"/>
      <c r="J17" s="101"/>
      <c r="K17" s="101"/>
      <c r="L17" s="101"/>
      <c r="M17" s="102"/>
      <c r="N17" s="113" t="s">
        <v>204</v>
      </c>
      <c r="O17" s="101"/>
      <c r="P17" s="101"/>
      <c r="Q17" s="101"/>
      <c r="R17" s="101"/>
      <c r="S17" s="101"/>
      <c r="T17" s="101"/>
      <c r="U17" s="101"/>
      <c r="V17" s="102"/>
      <c r="W17" s="113" t="s">
        <v>578</v>
      </c>
      <c r="X17" s="101"/>
      <c r="Y17" s="101"/>
      <c r="Z17" s="101"/>
      <c r="AA17" s="101"/>
      <c r="AB17" s="102"/>
      <c r="AC17" s="113"/>
      <c r="AD17" s="101"/>
      <c r="AE17" s="102"/>
      <c r="AF17" s="112" t="s">
        <v>198</v>
      </c>
      <c r="AG17" s="101"/>
      <c r="AH17" s="102"/>
      <c r="AI17" s="112"/>
      <c r="AJ17" s="102"/>
      <c r="AK17" s="112"/>
      <c r="AL17" s="102"/>
      <c r="AM17" s="112"/>
      <c r="AN17" s="102"/>
      <c r="AO17" s="118" t="s">
        <v>395</v>
      </c>
      <c r="AP17" s="119"/>
      <c r="AQ17" s="119"/>
      <c r="AR17" s="119"/>
      <c r="AS17" s="120"/>
      <c r="AT17" s="116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21" customHeight="1"/>
    <row r="20" spans="1:57" ht="21" customHeight="1"/>
    <row r="21" spans="1:57" ht="21" customHeight="1"/>
    <row r="22" spans="1:57" ht="21" customHeight="1"/>
    <row r="23" spans="1:57" ht="21" customHeight="1"/>
    <row r="24" spans="1:57" ht="21" customHeight="1"/>
    <row r="25" spans="1:57" ht="21" customHeight="1"/>
    <row r="26" spans="1:57" ht="21" customHeight="1"/>
    <row r="27" spans="1:57" ht="21" customHeight="1"/>
    <row r="28" spans="1:57" ht="21" customHeight="1"/>
    <row r="29" spans="1:57" ht="21" customHeight="1"/>
    <row r="30" spans="1:57" ht="21" customHeight="1"/>
    <row r="31" spans="1:57" ht="21" customHeight="1"/>
    <row r="32" spans="1:57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  <mergeCell ref="AI15:AJ1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175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441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687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208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3" si="0">ROW()-5</f>
        <v>1</v>
      </c>
      <c r="C6" s="101"/>
      <c r="D6" s="102"/>
      <c r="E6" s="113" t="s">
        <v>649</v>
      </c>
      <c r="F6" s="101"/>
      <c r="G6" s="101"/>
      <c r="H6" s="101"/>
      <c r="I6" s="101"/>
      <c r="J6" s="101"/>
      <c r="K6" s="101"/>
      <c r="L6" s="101"/>
      <c r="M6" s="102"/>
      <c r="N6" s="113" t="s">
        <v>688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467</v>
      </c>
      <c r="F7" s="101"/>
      <c r="G7" s="101"/>
      <c r="H7" s="101"/>
      <c r="I7" s="101"/>
      <c r="J7" s="101"/>
      <c r="K7" s="101"/>
      <c r="L7" s="101"/>
      <c r="M7" s="102"/>
      <c r="N7" s="113" t="s">
        <v>469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856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460</v>
      </c>
      <c r="F8" s="101"/>
      <c r="G8" s="101"/>
      <c r="H8" s="101"/>
      <c r="I8" s="101"/>
      <c r="J8" s="101"/>
      <c r="K8" s="101"/>
      <c r="L8" s="101"/>
      <c r="M8" s="102"/>
      <c r="N8" s="113" t="s">
        <v>835</v>
      </c>
      <c r="O8" s="101"/>
      <c r="P8" s="101"/>
      <c r="Q8" s="101"/>
      <c r="R8" s="101"/>
      <c r="S8" s="101"/>
      <c r="T8" s="101"/>
      <c r="U8" s="101"/>
      <c r="V8" s="102"/>
      <c r="W8" s="113" t="s">
        <v>596</v>
      </c>
      <c r="X8" s="101"/>
      <c r="Y8" s="101"/>
      <c r="Z8" s="101"/>
      <c r="AA8" s="101"/>
      <c r="AB8" s="102"/>
      <c r="AC8" s="113" t="s">
        <v>867</v>
      </c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6" t="s">
        <v>833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241</v>
      </c>
      <c r="F9" s="101"/>
      <c r="G9" s="101"/>
      <c r="H9" s="101"/>
      <c r="I9" s="101"/>
      <c r="J9" s="101"/>
      <c r="K9" s="101"/>
      <c r="L9" s="101"/>
      <c r="M9" s="102"/>
      <c r="N9" s="113" t="s">
        <v>242</v>
      </c>
      <c r="O9" s="101"/>
      <c r="P9" s="101"/>
      <c r="Q9" s="101"/>
      <c r="R9" s="101"/>
      <c r="S9" s="101"/>
      <c r="T9" s="101"/>
      <c r="U9" s="101"/>
      <c r="V9" s="102"/>
      <c r="W9" s="113" t="s">
        <v>578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243</v>
      </c>
      <c r="F10" s="101"/>
      <c r="G10" s="101"/>
      <c r="H10" s="101"/>
      <c r="I10" s="101"/>
      <c r="J10" s="101"/>
      <c r="K10" s="101"/>
      <c r="L10" s="101"/>
      <c r="M10" s="102"/>
      <c r="N10" s="113" t="s">
        <v>244</v>
      </c>
      <c r="O10" s="101"/>
      <c r="P10" s="101"/>
      <c r="Q10" s="101"/>
      <c r="R10" s="101"/>
      <c r="S10" s="101"/>
      <c r="T10" s="101"/>
      <c r="U10" s="101"/>
      <c r="V10" s="102"/>
      <c r="W10" s="113" t="s">
        <v>577</v>
      </c>
      <c r="X10" s="101"/>
      <c r="Y10" s="101"/>
      <c r="Z10" s="101"/>
      <c r="AA10" s="101"/>
      <c r="AB10" s="102"/>
      <c r="AC10" s="11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 t="s">
        <v>198</v>
      </c>
      <c r="AN10" s="102"/>
      <c r="AO10" s="113"/>
      <c r="AP10" s="101"/>
      <c r="AQ10" s="101"/>
      <c r="AR10" s="101"/>
      <c r="AS10" s="102"/>
      <c r="AT10" s="113" t="s">
        <v>842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245</v>
      </c>
      <c r="F11" s="101"/>
      <c r="G11" s="101"/>
      <c r="H11" s="101"/>
      <c r="I11" s="101"/>
      <c r="J11" s="101"/>
      <c r="K11" s="101"/>
      <c r="L11" s="101"/>
      <c r="M11" s="102"/>
      <c r="N11" s="113" t="s">
        <v>246</v>
      </c>
      <c r="O11" s="101"/>
      <c r="P11" s="101"/>
      <c r="Q11" s="101"/>
      <c r="R11" s="101"/>
      <c r="S11" s="101"/>
      <c r="T11" s="101"/>
      <c r="U11" s="101"/>
      <c r="V11" s="102"/>
      <c r="W11" s="113" t="s">
        <v>587</v>
      </c>
      <c r="X11" s="101"/>
      <c r="Y11" s="101"/>
      <c r="Z11" s="101"/>
      <c r="AA11" s="101"/>
      <c r="AB11" s="102"/>
      <c r="AC11" s="113" t="s">
        <v>247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248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249</v>
      </c>
      <c r="F12" s="101"/>
      <c r="G12" s="101"/>
      <c r="H12" s="101"/>
      <c r="I12" s="101"/>
      <c r="J12" s="101"/>
      <c r="K12" s="101"/>
      <c r="L12" s="101"/>
      <c r="M12" s="102"/>
      <c r="N12" s="113" t="s">
        <v>250</v>
      </c>
      <c r="O12" s="101"/>
      <c r="P12" s="101"/>
      <c r="Q12" s="101"/>
      <c r="R12" s="101"/>
      <c r="S12" s="101"/>
      <c r="T12" s="101"/>
      <c r="U12" s="101"/>
      <c r="V12" s="102"/>
      <c r="W12" s="113" t="s">
        <v>588</v>
      </c>
      <c r="X12" s="101"/>
      <c r="Y12" s="101"/>
      <c r="Z12" s="101"/>
      <c r="AA12" s="101"/>
      <c r="AB12" s="102"/>
      <c r="AC12" s="113" t="s">
        <v>251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252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8.75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13" t="s">
        <v>238</v>
      </c>
      <c r="O13" s="101"/>
      <c r="P13" s="101"/>
      <c r="Q13" s="101"/>
      <c r="R13" s="101"/>
      <c r="S13" s="101"/>
      <c r="T13" s="101"/>
      <c r="U13" s="101"/>
      <c r="V13" s="102"/>
      <c r="W13" s="113" t="s">
        <v>578</v>
      </c>
      <c r="X13" s="101"/>
      <c r="Y13" s="101"/>
      <c r="Z13" s="101"/>
      <c r="AA13" s="101"/>
      <c r="AB13" s="102"/>
      <c r="AC13" s="11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13" t="s">
        <v>205</v>
      </c>
      <c r="AP13" s="101"/>
      <c r="AQ13" s="101"/>
      <c r="AR13" s="101"/>
      <c r="AS13" s="102"/>
      <c r="AT13" s="116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E1001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177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476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992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7" t="s">
        <v>731</v>
      </c>
      <c r="V2" s="58"/>
      <c r="W2" s="58"/>
      <c r="X2" s="58"/>
      <c r="Y2" s="58"/>
      <c r="Z2" s="58"/>
      <c r="AA2" s="58"/>
      <c r="AB2" s="58"/>
      <c r="AC2" s="59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650</v>
      </c>
      <c r="F6" s="101"/>
      <c r="G6" s="101"/>
      <c r="H6" s="101"/>
      <c r="I6" s="101"/>
      <c r="J6" s="101"/>
      <c r="K6" s="101"/>
      <c r="L6" s="101"/>
      <c r="M6" s="102"/>
      <c r="N6" s="113" t="s">
        <v>732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478</v>
      </c>
      <c r="F7" s="101"/>
      <c r="G7" s="101"/>
      <c r="H7" s="101"/>
      <c r="I7" s="101"/>
      <c r="J7" s="101"/>
      <c r="K7" s="101"/>
      <c r="L7" s="101"/>
      <c r="M7" s="102"/>
      <c r="N7" s="113" t="s">
        <v>678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202</v>
      </c>
      <c r="F8" s="101"/>
      <c r="G8" s="101"/>
      <c r="H8" s="101"/>
      <c r="I8" s="101"/>
      <c r="J8" s="101"/>
      <c r="K8" s="101"/>
      <c r="L8" s="101"/>
      <c r="M8" s="102"/>
      <c r="N8" s="113" t="s">
        <v>203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843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8" t="s">
        <v>598</v>
      </c>
      <c r="F9" s="119"/>
      <c r="G9" s="119"/>
      <c r="H9" s="119"/>
      <c r="I9" s="119"/>
      <c r="J9" s="119"/>
      <c r="K9" s="119"/>
      <c r="L9" s="119"/>
      <c r="M9" s="120"/>
      <c r="N9" s="116" t="s">
        <v>325</v>
      </c>
      <c r="O9" s="101"/>
      <c r="P9" s="101"/>
      <c r="Q9" s="101"/>
      <c r="R9" s="101"/>
      <c r="S9" s="101"/>
      <c r="T9" s="101"/>
      <c r="U9" s="101"/>
      <c r="V9" s="102"/>
      <c r="W9" s="113" t="s">
        <v>816</v>
      </c>
      <c r="X9" s="101"/>
      <c r="Y9" s="101"/>
      <c r="Z9" s="101"/>
      <c r="AA9" s="101"/>
      <c r="AB9" s="102"/>
      <c r="AC9" s="113" t="s">
        <v>602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817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950</v>
      </c>
      <c r="F10" s="101"/>
      <c r="G10" s="101"/>
      <c r="H10" s="101"/>
      <c r="I10" s="101"/>
      <c r="J10" s="101"/>
      <c r="K10" s="101"/>
      <c r="L10" s="101"/>
      <c r="M10" s="102"/>
      <c r="N10" s="103" t="s">
        <v>714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838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999</v>
      </c>
      <c r="F11" s="101"/>
      <c r="G11" s="101"/>
      <c r="H11" s="101"/>
      <c r="I11" s="101"/>
      <c r="J11" s="101"/>
      <c r="K11" s="101"/>
      <c r="L11" s="101"/>
      <c r="M11" s="102"/>
      <c r="N11" s="103" t="s">
        <v>1000</v>
      </c>
      <c r="O11" s="101"/>
      <c r="P11" s="101"/>
      <c r="Q11" s="101"/>
      <c r="R11" s="101"/>
      <c r="S11" s="101"/>
      <c r="T11" s="101"/>
      <c r="U11" s="101"/>
      <c r="V11" s="102"/>
      <c r="W11" s="113" t="s">
        <v>577</v>
      </c>
      <c r="X11" s="101"/>
      <c r="Y11" s="101"/>
      <c r="Z11" s="101"/>
      <c r="AA11" s="101"/>
      <c r="AB11" s="102"/>
      <c r="AC11" s="113"/>
      <c r="AD11" s="101"/>
      <c r="AE11" s="102"/>
      <c r="AF11" s="112"/>
      <c r="AG11" s="101"/>
      <c r="AH11" s="102"/>
      <c r="AI11" s="112"/>
      <c r="AJ11" s="102"/>
      <c r="AK11" s="112"/>
      <c r="AL11" s="102"/>
      <c r="AM11" s="112" t="s">
        <v>890</v>
      </c>
      <c r="AN11" s="102"/>
      <c r="AO11" s="113"/>
      <c r="AP11" s="101"/>
      <c r="AQ11" s="101"/>
      <c r="AR11" s="101"/>
      <c r="AS11" s="102"/>
      <c r="AT11" s="113" t="s">
        <v>857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479</v>
      </c>
      <c r="F12" s="101"/>
      <c r="G12" s="101"/>
      <c r="H12" s="101"/>
      <c r="I12" s="101"/>
      <c r="J12" s="101"/>
      <c r="K12" s="101"/>
      <c r="L12" s="101"/>
      <c r="M12" s="102"/>
      <c r="N12" s="103" t="s">
        <v>825</v>
      </c>
      <c r="O12" s="101"/>
      <c r="P12" s="101"/>
      <c r="Q12" s="101"/>
      <c r="R12" s="101"/>
      <c r="S12" s="101"/>
      <c r="T12" s="101"/>
      <c r="U12" s="101"/>
      <c r="V12" s="102"/>
      <c r="W12" s="113" t="s">
        <v>596</v>
      </c>
      <c r="X12" s="101"/>
      <c r="Y12" s="101"/>
      <c r="Z12" s="101"/>
      <c r="AA12" s="101"/>
      <c r="AB12" s="102"/>
      <c r="AC12" s="113"/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 t="s">
        <v>480</v>
      </c>
      <c r="AP12" s="101"/>
      <c r="AQ12" s="101"/>
      <c r="AR12" s="101"/>
      <c r="AS12" s="102"/>
      <c r="AT12" s="103" t="s">
        <v>826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03" t="s">
        <v>238</v>
      </c>
      <c r="O13" s="101"/>
      <c r="P13" s="101"/>
      <c r="Q13" s="101"/>
      <c r="R13" s="101"/>
      <c r="S13" s="101"/>
      <c r="T13" s="101"/>
      <c r="U13" s="101"/>
      <c r="V13" s="102"/>
      <c r="W13" s="103" t="s">
        <v>578</v>
      </c>
      <c r="X13" s="101"/>
      <c r="Y13" s="101"/>
      <c r="Z13" s="101"/>
      <c r="AA13" s="101"/>
      <c r="AB13" s="102"/>
      <c r="AC13" s="10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03" t="s">
        <v>205</v>
      </c>
      <c r="AP13" s="101"/>
      <c r="AQ13" s="101"/>
      <c r="AR13" s="101"/>
      <c r="AS13" s="102"/>
      <c r="AT13" s="115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3" t="s">
        <v>22</v>
      </c>
      <c r="F14" s="101"/>
      <c r="G14" s="101"/>
      <c r="H14" s="101"/>
      <c r="I14" s="101"/>
      <c r="J14" s="101"/>
      <c r="K14" s="101"/>
      <c r="L14" s="101"/>
      <c r="M14" s="102"/>
      <c r="N14" s="103" t="s">
        <v>204</v>
      </c>
      <c r="O14" s="101"/>
      <c r="P14" s="101"/>
      <c r="Q14" s="101"/>
      <c r="R14" s="101"/>
      <c r="S14" s="101"/>
      <c r="T14" s="101"/>
      <c r="U14" s="101"/>
      <c r="V14" s="102"/>
      <c r="W14" s="103" t="s">
        <v>578</v>
      </c>
      <c r="X14" s="101"/>
      <c r="Y14" s="101"/>
      <c r="Z14" s="101"/>
      <c r="AA14" s="101"/>
      <c r="AB14" s="102"/>
      <c r="AC14" s="103"/>
      <c r="AD14" s="101"/>
      <c r="AE14" s="102"/>
      <c r="AF14" s="112" t="s">
        <v>198</v>
      </c>
      <c r="AG14" s="101"/>
      <c r="AH14" s="102"/>
      <c r="AI14" s="112"/>
      <c r="AJ14" s="102"/>
      <c r="AK14" s="128"/>
      <c r="AL14" s="120"/>
      <c r="AM14" s="128"/>
      <c r="AN14" s="120"/>
      <c r="AO14" s="137" t="s">
        <v>395</v>
      </c>
      <c r="AP14" s="119"/>
      <c r="AQ14" s="119"/>
      <c r="AR14" s="119"/>
      <c r="AS14" s="120"/>
      <c r="AT14" s="138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0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</row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0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T11:BE11"/>
    <mergeCell ref="AF11:AH11"/>
    <mergeCell ref="AI11:AJ11"/>
    <mergeCell ref="AK11:AL11"/>
    <mergeCell ref="AM11:AN11"/>
    <mergeCell ref="AO11:AS11"/>
    <mergeCell ref="B11:D11"/>
    <mergeCell ref="E11:M11"/>
    <mergeCell ref="N11:V11"/>
    <mergeCell ref="W11:AB11"/>
    <mergeCell ref="AC11:AE11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BE999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620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482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939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60" t="s">
        <v>733</v>
      </c>
      <c r="V2" s="55"/>
      <c r="W2" s="55"/>
      <c r="X2" s="55"/>
      <c r="Y2" s="55"/>
      <c r="Z2" s="55"/>
      <c r="AA2" s="55"/>
      <c r="AB2" s="55"/>
      <c r="AC2" s="56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917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0" si="0">ROW()-5</f>
        <v>1</v>
      </c>
      <c r="C6" s="101"/>
      <c r="D6" s="102"/>
      <c r="E6" s="113" t="s">
        <v>651</v>
      </c>
      <c r="F6" s="101"/>
      <c r="G6" s="101"/>
      <c r="H6" s="101"/>
      <c r="I6" s="101"/>
      <c r="J6" s="101"/>
      <c r="K6" s="101"/>
      <c r="L6" s="101"/>
      <c r="M6" s="102"/>
      <c r="N6" s="113" t="s">
        <v>734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477</v>
      </c>
      <c r="F7" s="101"/>
      <c r="G7" s="101"/>
      <c r="H7" s="101"/>
      <c r="I7" s="101"/>
      <c r="J7" s="101"/>
      <c r="K7" s="101"/>
      <c r="L7" s="101"/>
      <c r="M7" s="102"/>
      <c r="N7" s="113" t="s">
        <v>732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858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483</v>
      </c>
      <c r="F8" s="101"/>
      <c r="G8" s="101"/>
      <c r="H8" s="101"/>
      <c r="I8" s="101"/>
      <c r="J8" s="101"/>
      <c r="K8" s="101"/>
      <c r="L8" s="101"/>
      <c r="M8" s="102"/>
      <c r="N8" s="113" t="s">
        <v>212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955</v>
      </c>
      <c r="F9" s="101"/>
      <c r="G9" s="101"/>
      <c r="H9" s="101"/>
      <c r="I9" s="101"/>
      <c r="J9" s="101"/>
      <c r="K9" s="101"/>
      <c r="L9" s="101"/>
      <c r="M9" s="102"/>
      <c r="N9" s="103" t="s">
        <v>714</v>
      </c>
      <c r="O9" s="101"/>
      <c r="P9" s="101"/>
      <c r="Q9" s="101"/>
      <c r="R9" s="101"/>
      <c r="S9" s="101"/>
      <c r="T9" s="101"/>
      <c r="U9" s="101"/>
      <c r="V9" s="102"/>
      <c r="W9" s="113" t="s">
        <v>583</v>
      </c>
      <c r="X9" s="101"/>
      <c r="Y9" s="101"/>
      <c r="Z9" s="101"/>
      <c r="AA9" s="101"/>
      <c r="AB9" s="102"/>
      <c r="AC9" s="113" t="s">
        <v>228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13" t="s">
        <v>316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4</v>
      </c>
      <c r="F10" s="101"/>
      <c r="G10" s="101"/>
      <c r="H10" s="101"/>
      <c r="I10" s="101"/>
      <c r="J10" s="101"/>
      <c r="K10" s="101"/>
      <c r="L10" s="101"/>
      <c r="M10" s="102"/>
      <c r="N10" s="103" t="s">
        <v>238</v>
      </c>
      <c r="O10" s="101"/>
      <c r="P10" s="101"/>
      <c r="Q10" s="101"/>
      <c r="R10" s="101"/>
      <c r="S10" s="101"/>
      <c r="T10" s="101"/>
      <c r="U10" s="101"/>
      <c r="V10" s="102"/>
      <c r="W10" s="103" t="s">
        <v>578</v>
      </c>
      <c r="X10" s="101"/>
      <c r="Y10" s="101"/>
      <c r="Z10" s="101"/>
      <c r="AA10" s="101"/>
      <c r="AB10" s="102"/>
      <c r="AC10" s="103"/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03" t="s">
        <v>205</v>
      </c>
      <c r="AP10" s="101"/>
      <c r="AQ10" s="101"/>
      <c r="AR10" s="101"/>
      <c r="AS10" s="102"/>
      <c r="AT10" s="115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6"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181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7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741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8" si="0">ROW()-5</f>
        <v>1</v>
      </c>
      <c r="C6" s="101"/>
      <c r="D6" s="102"/>
      <c r="E6" s="113" t="s">
        <v>652</v>
      </c>
      <c r="F6" s="101"/>
      <c r="G6" s="101"/>
      <c r="H6" s="101"/>
      <c r="I6" s="101"/>
      <c r="J6" s="101"/>
      <c r="K6" s="101"/>
      <c r="L6" s="101"/>
      <c r="M6" s="102"/>
      <c r="N6" s="113" t="s">
        <v>742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484</v>
      </c>
      <c r="F7" s="101"/>
      <c r="G7" s="101"/>
      <c r="H7" s="101"/>
      <c r="I7" s="101"/>
      <c r="J7" s="101"/>
      <c r="K7" s="101"/>
      <c r="L7" s="101"/>
      <c r="M7" s="102"/>
      <c r="N7" s="116" t="s">
        <v>325</v>
      </c>
      <c r="O7" s="101"/>
      <c r="P7" s="101"/>
      <c r="Q7" s="101"/>
      <c r="R7" s="101"/>
      <c r="S7" s="101"/>
      <c r="T7" s="101"/>
      <c r="U7" s="101"/>
      <c r="V7" s="102"/>
      <c r="W7" s="113" t="s">
        <v>816</v>
      </c>
      <c r="X7" s="101"/>
      <c r="Y7" s="101"/>
      <c r="Z7" s="101"/>
      <c r="AA7" s="101"/>
      <c r="AB7" s="102"/>
      <c r="AC7" s="113" t="s">
        <v>602</v>
      </c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/>
      <c r="AN7" s="102"/>
      <c r="AO7" s="113"/>
      <c r="AP7" s="101"/>
      <c r="AQ7" s="101"/>
      <c r="AR7" s="101"/>
      <c r="AS7" s="102"/>
      <c r="AT7" s="113" t="s">
        <v>817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485</v>
      </c>
      <c r="F8" s="101"/>
      <c r="G8" s="101"/>
      <c r="H8" s="101"/>
      <c r="I8" s="101"/>
      <c r="J8" s="101"/>
      <c r="K8" s="101"/>
      <c r="L8" s="101"/>
      <c r="M8" s="102"/>
      <c r="N8" s="113" t="s">
        <v>827</v>
      </c>
      <c r="O8" s="101"/>
      <c r="P8" s="101"/>
      <c r="Q8" s="101"/>
      <c r="R8" s="101"/>
      <c r="S8" s="101"/>
      <c r="T8" s="101"/>
      <c r="U8" s="101"/>
      <c r="V8" s="102"/>
      <c r="W8" s="113" t="s">
        <v>584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/>
      <c r="AN8" s="102"/>
      <c r="AO8" s="113"/>
      <c r="AP8" s="101"/>
      <c r="AQ8" s="101"/>
      <c r="AR8" s="101"/>
      <c r="AS8" s="102"/>
      <c r="AT8" s="113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21" customHeight="1"/>
    <row r="11" spans="1:57" ht="21" customHeight="1"/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BE1007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621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486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1052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745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599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22" si="0">ROW()-5</f>
        <v>1</v>
      </c>
      <c r="C6" s="101"/>
      <c r="D6" s="102"/>
      <c r="E6" s="113" t="s">
        <v>653</v>
      </c>
      <c r="F6" s="101"/>
      <c r="G6" s="101"/>
      <c r="H6" s="101"/>
      <c r="I6" s="101"/>
      <c r="J6" s="101"/>
      <c r="K6" s="101"/>
      <c r="L6" s="101"/>
      <c r="M6" s="102"/>
      <c r="N6" s="113" t="s">
        <v>746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324</v>
      </c>
      <c r="F7" s="101"/>
      <c r="G7" s="101"/>
      <c r="H7" s="101"/>
      <c r="I7" s="101"/>
      <c r="J7" s="101"/>
      <c r="K7" s="101"/>
      <c r="L7" s="101"/>
      <c r="M7" s="102"/>
      <c r="N7" s="116" t="s">
        <v>325</v>
      </c>
      <c r="O7" s="101"/>
      <c r="P7" s="101"/>
      <c r="Q7" s="101"/>
      <c r="R7" s="101"/>
      <c r="S7" s="101"/>
      <c r="T7" s="101"/>
      <c r="U7" s="101"/>
      <c r="V7" s="102"/>
      <c r="W7" s="113" t="s">
        <v>816</v>
      </c>
      <c r="X7" s="101"/>
      <c r="Y7" s="101"/>
      <c r="Z7" s="101"/>
      <c r="AA7" s="101"/>
      <c r="AB7" s="102"/>
      <c r="AC7" s="113" t="s">
        <v>602</v>
      </c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/>
      <c r="AN7" s="102"/>
      <c r="AO7" s="113"/>
      <c r="AP7" s="101"/>
      <c r="AQ7" s="101"/>
      <c r="AR7" s="101"/>
      <c r="AS7" s="102"/>
      <c r="AT7" s="113" t="s">
        <v>817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254</v>
      </c>
      <c r="F8" s="101"/>
      <c r="G8" s="101"/>
      <c r="H8" s="101"/>
      <c r="I8" s="101"/>
      <c r="J8" s="101"/>
      <c r="K8" s="101"/>
      <c r="L8" s="101"/>
      <c r="M8" s="102"/>
      <c r="N8" s="113" t="s">
        <v>312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851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8" t="s">
        <v>873</v>
      </c>
      <c r="F9" s="119"/>
      <c r="G9" s="119"/>
      <c r="H9" s="119"/>
      <c r="I9" s="119"/>
      <c r="J9" s="119"/>
      <c r="K9" s="119"/>
      <c r="L9" s="119"/>
      <c r="M9" s="120"/>
      <c r="N9" s="137" t="s">
        <v>875</v>
      </c>
      <c r="O9" s="119"/>
      <c r="P9" s="119"/>
      <c r="Q9" s="119"/>
      <c r="R9" s="119"/>
      <c r="S9" s="119"/>
      <c r="T9" s="119"/>
      <c r="U9" s="119"/>
      <c r="V9" s="120"/>
      <c r="W9" s="103" t="s">
        <v>596</v>
      </c>
      <c r="X9" s="101"/>
      <c r="Y9" s="101"/>
      <c r="Z9" s="101"/>
      <c r="AA9" s="101"/>
      <c r="AB9" s="102"/>
      <c r="AC9" s="113" t="s">
        <v>24</v>
      </c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/>
      <c r="AP9" s="101"/>
      <c r="AQ9" s="101"/>
      <c r="AR9" s="101"/>
      <c r="AS9" s="102"/>
      <c r="AT9" s="103" t="s">
        <v>487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s="34" customFormat="1" ht="21" customHeight="1">
      <c r="A10" s="35"/>
      <c r="B10" s="142">
        <f t="shared" si="0"/>
        <v>5</v>
      </c>
      <c r="C10" s="143"/>
      <c r="D10" s="144"/>
      <c r="E10" s="145" t="s">
        <v>1070</v>
      </c>
      <c r="F10" s="149"/>
      <c r="G10" s="149"/>
      <c r="H10" s="149"/>
      <c r="I10" s="149"/>
      <c r="J10" s="149"/>
      <c r="K10" s="149"/>
      <c r="L10" s="149"/>
      <c r="M10" s="150"/>
      <c r="N10" s="139" t="s">
        <v>771</v>
      </c>
      <c r="O10" s="140"/>
      <c r="P10" s="140"/>
      <c r="Q10" s="140"/>
      <c r="R10" s="140"/>
      <c r="S10" s="140"/>
      <c r="T10" s="140"/>
      <c r="U10" s="140"/>
      <c r="V10" s="141"/>
      <c r="W10" s="139" t="s">
        <v>582</v>
      </c>
      <c r="X10" s="140"/>
      <c r="Y10" s="140"/>
      <c r="Z10" s="140"/>
      <c r="AA10" s="140"/>
      <c r="AB10" s="141"/>
      <c r="AC10" s="139" t="s">
        <v>78</v>
      </c>
      <c r="AD10" s="140"/>
      <c r="AE10" s="141"/>
      <c r="AF10" s="148" t="s">
        <v>198</v>
      </c>
      <c r="AG10" s="151"/>
      <c r="AH10" s="152"/>
      <c r="AI10" s="148"/>
      <c r="AJ10" s="152"/>
      <c r="AK10" s="148" t="s">
        <v>201</v>
      </c>
      <c r="AL10" s="152"/>
      <c r="AM10" s="148"/>
      <c r="AN10" s="152"/>
      <c r="AO10" s="139"/>
      <c r="AP10" s="140"/>
      <c r="AQ10" s="140"/>
      <c r="AR10" s="140"/>
      <c r="AS10" s="141"/>
      <c r="AT10" s="139" t="s">
        <v>256</v>
      </c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1"/>
    </row>
    <row r="11" spans="1:57" s="34" customFormat="1" ht="21" customHeight="1">
      <c r="A11" s="35"/>
      <c r="B11" s="142">
        <f t="shared" si="0"/>
        <v>6</v>
      </c>
      <c r="C11" s="143"/>
      <c r="D11" s="144"/>
      <c r="E11" s="145" t="s">
        <v>772</v>
      </c>
      <c r="F11" s="146"/>
      <c r="G11" s="146"/>
      <c r="H11" s="146"/>
      <c r="I11" s="146"/>
      <c r="J11" s="146"/>
      <c r="K11" s="146"/>
      <c r="L11" s="146"/>
      <c r="M11" s="147"/>
      <c r="N11" s="139" t="s">
        <v>773</v>
      </c>
      <c r="O11" s="146"/>
      <c r="P11" s="146"/>
      <c r="Q11" s="146"/>
      <c r="R11" s="146"/>
      <c r="S11" s="146"/>
      <c r="T11" s="146"/>
      <c r="U11" s="146"/>
      <c r="V11" s="147"/>
      <c r="W11" s="139" t="s">
        <v>589</v>
      </c>
      <c r="X11" s="146"/>
      <c r="Y11" s="146"/>
      <c r="Z11" s="146"/>
      <c r="AA11" s="146"/>
      <c r="AB11" s="147"/>
      <c r="AC11" s="139" t="s">
        <v>257</v>
      </c>
      <c r="AD11" s="146"/>
      <c r="AE11" s="147"/>
      <c r="AF11" s="148" t="s">
        <v>198</v>
      </c>
      <c r="AG11" s="146"/>
      <c r="AH11" s="147"/>
      <c r="AI11" s="148"/>
      <c r="AJ11" s="147"/>
      <c r="AK11" s="148" t="s">
        <v>201</v>
      </c>
      <c r="AL11" s="147"/>
      <c r="AM11" s="148"/>
      <c r="AN11" s="147"/>
      <c r="AO11" s="139"/>
      <c r="AP11" s="146"/>
      <c r="AQ11" s="146"/>
      <c r="AR11" s="146"/>
      <c r="AS11" s="147"/>
      <c r="AT11" s="139" t="s">
        <v>258</v>
      </c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7"/>
    </row>
    <row r="12" spans="1:57" s="34" customFormat="1" ht="21" customHeight="1">
      <c r="A12" s="35"/>
      <c r="B12" s="142">
        <f t="shared" si="0"/>
        <v>7</v>
      </c>
      <c r="C12" s="143"/>
      <c r="D12" s="144"/>
      <c r="E12" s="154" t="s">
        <v>1071</v>
      </c>
      <c r="F12" s="143"/>
      <c r="G12" s="143"/>
      <c r="H12" s="143"/>
      <c r="I12" s="143"/>
      <c r="J12" s="143"/>
      <c r="K12" s="143"/>
      <c r="L12" s="143"/>
      <c r="M12" s="144"/>
      <c r="N12" s="139" t="s">
        <v>1072</v>
      </c>
      <c r="O12" s="146"/>
      <c r="P12" s="146"/>
      <c r="Q12" s="146"/>
      <c r="R12" s="146"/>
      <c r="S12" s="146"/>
      <c r="T12" s="146"/>
      <c r="U12" s="146"/>
      <c r="V12" s="147"/>
      <c r="W12" s="139" t="s">
        <v>580</v>
      </c>
      <c r="X12" s="146"/>
      <c r="Y12" s="146"/>
      <c r="Z12" s="146"/>
      <c r="AA12" s="146"/>
      <c r="AB12" s="147"/>
      <c r="AC12" s="139" t="s">
        <v>215</v>
      </c>
      <c r="AD12" s="146"/>
      <c r="AE12" s="147"/>
      <c r="AF12" s="148" t="s">
        <v>198</v>
      </c>
      <c r="AG12" s="146"/>
      <c r="AH12" s="147"/>
      <c r="AI12" s="148"/>
      <c r="AJ12" s="147"/>
      <c r="AK12" s="148"/>
      <c r="AL12" s="147"/>
      <c r="AM12" s="148"/>
      <c r="AN12" s="147"/>
      <c r="AO12" s="139"/>
      <c r="AP12" s="146"/>
      <c r="AQ12" s="146"/>
      <c r="AR12" s="146"/>
      <c r="AS12" s="147"/>
      <c r="AT12" s="153" t="s">
        <v>216</v>
      </c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7"/>
    </row>
    <row r="13" spans="1:57" s="34" customFormat="1" ht="21" customHeight="1">
      <c r="A13" s="35"/>
      <c r="B13" s="142">
        <f t="shared" si="0"/>
        <v>8</v>
      </c>
      <c r="C13" s="143"/>
      <c r="D13" s="144"/>
      <c r="E13" s="145" t="s">
        <v>1073</v>
      </c>
      <c r="F13" s="146"/>
      <c r="G13" s="146"/>
      <c r="H13" s="146"/>
      <c r="I13" s="146"/>
      <c r="J13" s="146"/>
      <c r="K13" s="146"/>
      <c r="L13" s="146"/>
      <c r="M13" s="147"/>
      <c r="N13" s="139" t="s">
        <v>776</v>
      </c>
      <c r="O13" s="146"/>
      <c r="P13" s="146"/>
      <c r="Q13" s="146"/>
      <c r="R13" s="146"/>
      <c r="S13" s="146"/>
      <c r="T13" s="146"/>
      <c r="U13" s="146"/>
      <c r="V13" s="147"/>
      <c r="W13" s="139" t="s">
        <v>584</v>
      </c>
      <c r="X13" s="146"/>
      <c r="Y13" s="146"/>
      <c r="Z13" s="146"/>
      <c r="AA13" s="146"/>
      <c r="AB13" s="147"/>
      <c r="AC13" s="139"/>
      <c r="AD13" s="146"/>
      <c r="AE13" s="147"/>
      <c r="AF13" s="148" t="s">
        <v>198</v>
      </c>
      <c r="AG13" s="146"/>
      <c r="AH13" s="147"/>
      <c r="AI13" s="148"/>
      <c r="AJ13" s="147"/>
      <c r="AK13" s="148"/>
      <c r="AL13" s="147"/>
      <c r="AM13" s="148"/>
      <c r="AN13" s="147"/>
      <c r="AO13" s="139"/>
      <c r="AP13" s="146"/>
      <c r="AQ13" s="146"/>
      <c r="AR13" s="146"/>
      <c r="AS13" s="147"/>
      <c r="AT13" s="153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7"/>
    </row>
    <row r="14" spans="1:57" s="34" customFormat="1" ht="21" customHeight="1">
      <c r="A14" s="35"/>
      <c r="B14" s="142">
        <f t="shared" si="0"/>
        <v>9</v>
      </c>
      <c r="C14" s="143"/>
      <c r="D14" s="144"/>
      <c r="E14" s="145" t="s">
        <v>1074</v>
      </c>
      <c r="F14" s="146"/>
      <c r="G14" s="146"/>
      <c r="H14" s="146"/>
      <c r="I14" s="146"/>
      <c r="J14" s="146"/>
      <c r="K14" s="146"/>
      <c r="L14" s="146"/>
      <c r="M14" s="147"/>
      <c r="N14" s="139" t="s">
        <v>779</v>
      </c>
      <c r="O14" s="146"/>
      <c r="P14" s="146"/>
      <c r="Q14" s="146"/>
      <c r="R14" s="146"/>
      <c r="S14" s="146"/>
      <c r="T14" s="146"/>
      <c r="U14" s="146"/>
      <c r="V14" s="147"/>
      <c r="W14" s="139" t="s">
        <v>584</v>
      </c>
      <c r="X14" s="146"/>
      <c r="Y14" s="146"/>
      <c r="Z14" s="146"/>
      <c r="AA14" s="146"/>
      <c r="AB14" s="147"/>
      <c r="AC14" s="139"/>
      <c r="AD14" s="146"/>
      <c r="AE14" s="147"/>
      <c r="AF14" s="148"/>
      <c r="AG14" s="146"/>
      <c r="AH14" s="147"/>
      <c r="AI14" s="148"/>
      <c r="AJ14" s="147"/>
      <c r="AK14" s="148"/>
      <c r="AL14" s="147"/>
      <c r="AM14" s="148"/>
      <c r="AN14" s="147"/>
      <c r="AO14" s="139"/>
      <c r="AP14" s="146"/>
      <c r="AQ14" s="146"/>
      <c r="AR14" s="146"/>
      <c r="AS14" s="147"/>
      <c r="AT14" s="153" t="s">
        <v>271</v>
      </c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7"/>
    </row>
    <row r="15" spans="1:57" s="34" customFormat="1" ht="21" customHeight="1">
      <c r="A15" s="35"/>
      <c r="B15" s="142">
        <f t="shared" si="0"/>
        <v>10</v>
      </c>
      <c r="C15" s="143"/>
      <c r="D15" s="144"/>
      <c r="E15" s="154" t="s">
        <v>1075</v>
      </c>
      <c r="F15" s="143"/>
      <c r="G15" s="143"/>
      <c r="H15" s="143"/>
      <c r="I15" s="143"/>
      <c r="J15" s="143"/>
      <c r="K15" s="143"/>
      <c r="L15" s="143"/>
      <c r="M15" s="144"/>
      <c r="N15" s="139" t="s">
        <v>610</v>
      </c>
      <c r="O15" s="146"/>
      <c r="P15" s="146"/>
      <c r="Q15" s="146"/>
      <c r="R15" s="146"/>
      <c r="S15" s="146"/>
      <c r="T15" s="146"/>
      <c r="U15" s="146"/>
      <c r="V15" s="147"/>
      <c r="W15" s="139" t="s">
        <v>592</v>
      </c>
      <c r="X15" s="146"/>
      <c r="Y15" s="146"/>
      <c r="Z15" s="146"/>
      <c r="AA15" s="146"/>
      <c r="AB15" s="147"/>
      <c r="AC15" s="139" t="s">
        <v>284</v>
      </c>
      <c r="AD15" s="146"/>
      <c r="AE15" s="147"/>
      <c r="AF15" s="148"/>
      <c r="AG15" s="146"/>
      <c r="AH15" s="147"/>
      <c r="AI15" s="148"/>
      <c r="AJ15" s="147"/>
      <c r="AK15" s="148"/>
      <c r="AL15" s="147"/>
      <c r="AM15" s="148"/>
      <c r="AN15" s="147"/>
      <c r="AO15" s="139"/>
      <c r="AP15" s="146"/>
      <c r="AQ15" s="146"/>
      <c r="AR15" s="146"/>
      <c r="AS15" s="147"/>
      <c r="AT15" s="153" t="s">
        <v>285</v>
      </c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7"/>
    </row>
    <row r="16" spans="1:57" ht="21" customHeight="1">
      <c r="A16" s="1"/>
      <c r="B16" s="114">
        <f t="shared" si="0"/>
        <v>11</v>
      </c>
      <c r="C16" s="101"/>
      <c r="D16" s="102"/>
      <c r="E16" s="113" t="s">
        <v>210</v>
      </c>
      <c r="F16" s="101"/>
      <c r="G16" s="101"/>
      <c r="H16" s="101"/>
      <c r="I16" s="101"/>
      <c r="J16" s="101"/>
      <c r="K16" s="101"/>
      <c r="L16" s="101"/>
      <c r="M16" s="102"/>
      <c r="N16" s="113" t="s">
        <v>859</v>
      </c>
      <c r="O16" s="101"/>
      <c r="P16" s="101"/>
      <c r="Q16" s="101"/>
      <c r="R16" s="101"/>
      <c r="S16" s="101"/>
      <c r="T16" s="101"/>
      <c r="U16" s="101"/>
      <c r="V16" s="102"/>
      <c r="W16" s="113" t="s">
        <v>577</v>
      </c>
      <c r="X16" s="101"/>
      <c r="Y16" s="101"/>
      <c r="Z16" s="101"/>
      <c r="AA16" s="101"/>
      <c r="AB16" s="102"/>
      <c r="AC16" s="113"/>
      <c r="AD16" s="101"/>
      <c r="AE16" s="102"/>
      <c r="AF16" s="112" t="s">
        <v>198</v>
      </c>
      <c r="AG16" s="101"/>
      <c r="AH16" s="102"/>
      <c r="AI16" s="112"/>
      <c r="AJ16" s="102"/>
      <c r="AK16" s="112"/>
      <c r="AL16" s="102"/>
      <c r="AM16" s="112" t="s">
        <v>198</v>
      </c>
      <c r="AN16" s="102"/>
      <c r="AO16" s="113"/>
      <c r="AP16" s="101"/>
      <c r="AQ16" s="101"/>
      <c r="AR16" s="101"/>
      <c r="AS16" s="102"/>
      <c r="AT16" s="113" t="s">
        <v>857</v>
      </c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21" customHeight="1">
      <c r="A17" s="1"/>
      <c r="B17" s="114">
        <f t="shared" si="0"/>
        <v>12</v>
      </c>
      <c r="C17" s="101"/>
      <c r="D17" s="102"/>
      <c r="E17" s="113" t="s">
        <v>202</v>
      </c>
      <c r="F17" s="101"/>
      <c r="G17" s="101"/>
      <c r="H17" s="101"/>
      <c r="I17" s="101"/>
      <c r="J17" s="101"/>
      <c r="K17" s="101"/>
      <c r="L17" s="101"/>
      <c r="M17" s="102"/>
      <c r="N17" s="113" t="s">
        <v>850</v>
      </c>
      <c r="O17" s="101"/>
      <c r="P17" s="101"/>
      <c r="Q17" s="101"/>
      <c r="R17" s="101"/>
      <c r="S17" s="101"/>
      <c r="T17" s="101"/>
      <c r="U17" s="101"/>
      <c r="V17" s="102"/>
      <c r="W17" s="113" t="s">
        <v>577</v>
      </c>
      <c r="X17" s="101"/>
      <c r="Y17" s="101"/>
      <c r="Z17" s="101"/>
      <c r="AA17" s="101"/>
      <c r="AB17" s="102"/>
      <c r="AC17" s="113"/>
      <c r="AD17" s="101"/>
      <c r="AE17" s="102"/>
      <c r="AF17" s="112" t="s">
        <v>198</v>
      </c>
      <c r="AG17" s="101"/>
      <c r="AH17" s="102"/>
      <c r="AI17" s="112"/>
      <c r="AJ17" s="102"/>
      <c r="AK17" s="112"/>
      <c r="AL17" s="102"/>
      <c r="AM17" s="112" t="s">
        <v>198</v>
      </c>
      <c r="AN17" s="102"/>
      <c r="AO17" s="113"/>
      <c r="AP17" s="101"/>
      <c r="AQ17" s="101"/>
      <c r="AR17" s="101"/>
      <c r="AS17" s="102"/>
      <c r="AT17" s="113" t="s">
        <v>843</v>
      </c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s="34" customFormat="1" ht="21" customHeight="1">
      <c r="A18" s="35"/>
      <c r="B18" s="142">
        <f t="shared" si="0"/>
        <v>13</v>
      </c>
      <c r="C18" s="143"/>
      <c r="D18" s="144"/>
      <c r="E18" s="154" t="s">
        <v>1076</v>
      </c>
      <c r="F18" s="143"/>
      <c r="G18" s="143"/>
      <c r="H18" s="143"/>
      <c r="I18" s="143"/>
      <c r="J18" s="143"/>
      <c r="K18" s="143"/>
      <c r="L18" s="143"/>
      <c r="M18" s="144"/>
      <c r="N18" s="139" t="s">
        <v>775</v>
      </c>
      <c r="O18" s="146"/>
      <c r="P18" s="146"/>
      <c r="Q18" s="146"/>
      <c r="R18" s="146"/>
      <c r="S18" s="146"/>
      <c r="T18" s="146"/>
      <c r="U18" s="146"/>
      <c r="V18" s="147"/>
      <c r="W18" s="139" t="s">
        <v>1077</v>
      </c>
      <c r="X18" s="146"/>
      <c r="Y18" s="146"/>
      <c r="Z18" s="146"/>
      <c r="AA18" s="146"/>
      <c r="AB18" s="147"/>
      <c r="AC18" s="139" t="s">
        <v>868</v>
      </c>
      <c r="AD18" s="146"/>
      <c r="AE18" s="147"/>
      <c r="AF18" s="148"/>
      <c r="AG18" s="146"/>
      <c r="AH18" s="147"/>
      <c r="AI18" s="148"/>
      <c r="AJ18" s="147"/>
      <c r="AK18" s="148"/>
      <c r="AL18" s="147"/>
      <c r="AM18" s="148"/>
      <c r="AN18" s="147"/>
      <c r="AO18" s="139"/>
      <c r="AP18" s="146"/>
      <c r="AQ18" s="146"/>
      <c r="AR18" s="146"/>
      <c r="AS18" s="147"/>
      <c r="AT18" s="154" t="s">
        <v>1078</v>
      </c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4"/>
    </row>
    <row r="19" spans="1:57" ht="21" customHeight="1">
      <c r="A19" s="1"/>
      <c r="B19" s="114">
        <f t="shared" si="0"/>
        <v>14</v>
      </c>
      <c r="C19" s="101"/>
      <c r="D19" s="102"/>
      <c r="E19" s="113" t="s">
        <v>488</v>
      </c>
      <c r="F19" s="101"/>
      <c r="G19" s="101"/>
      <c r="H19" s="101"/>
      <c r="I19" s="101"/>
      <c r="J19" s="101"/>
      <c r="K19" s="101"/>
      <c r="L19" s="101"/>
      <c r="M19" s="102"/>
      <c r="N19" s="103" t="s">
        <v>716</v>
      </c>
      <c r="O19" s="101"/>
      <c r="P19" s="101"/>
      <c r="Q19" s="101"/>
      <c r="R19" s="101"/>
      <c r="S19" s="101"/>
      <c r="T19" s="101"/>
      <c r="U19" s="101"/>
      <c r="V19" s="102"/>
      <c r="W19" s="113" t="s">
        <v>583</v>
      </c>
      <c r="X19" s="101"/>
      <c r="Y19" s="101"/>
      <c r="Z19" s="101"/>
      <c r="AA19" s="101"/>
      <c r="AB19" s="102"/>
      <c r="AC19" s="113" t="s">
        <v>228</v>
      </c>
      <c r="AD19" s="101"/>
      <c r="AE19" s="102"/>
      <c r="AF19" s="112" t="s">
        <v>198</v>
      </c>
      <c r="AG19" s="101"/>
      <c r="AH19" s="102"/>
      <c r="AI19" s="112"/>
      <c r="AJ19" s="102"/>
      <c r="AK19" s="112"/>
      <c r="AL19" s="102"/>
      <c r="AM19" s="112"/>
      <c r="AN19" s="102"/>
      <c r="AO19" s="113"/>
      <c r="AP19" s="101"/>
      <c r="AQ19" s="101"/>
      <c r="AR19" s="101"/>
      <c r="AS19" s="102"/>
      <c r="AT19" s="103" t="s">
        <v>489</v>
      </c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21" customHeight="1">
      <c r="A20" s="1"/>
      <c r="B20" s="114">
        <f t="shared" si="0"/>
        <v>15</v>
      </c>
      <c r="C20" s="101"/>
      <c r="D20" s="102"/>
      <c r="E20" s="113" t="s">
        <v>490</v>
      </c>
      <c r="F20" s="101"/>
      <c r="G20" s="101"/>
      <c r="H20" s="101"/>
      <c r="I20" s="101"/>
      <c r="J20" s="101"/>
      <c r="K20" s="101"/>
      <c r="L20" s="101"/>
      <c r="M20" s="102"/>
      <c r="N20" s="103" t="s">
        <v>715</v>
      </c>
      <c r="O20" s="101"/>
      <c r="P20" s="101"/>
      <c r="Q20" s="101"/>
      <c r="R20" s="101"/>
      <c r="S20" s="101"/>
      <c r="T20" s="101"/>
      <c r="U20" s="101"/>
      <c r="V20" s="102"/>
      <c r="W20" s="113" t="s">
        <v>583</v>
      </c>
      <c r="X20" s="101"/>
      <c r="Y20" s="101"/>
      <c r="Z20" s="101"/>
      <c r="AA20" s="101"/>
      <c r="AB20" s="102"/>
      <c r="AC20" s="113" t="s">
        <v>228</v>
      </c>
      <c r="AD20" s="101"/>
      <c r="AE20" s="102"/>
      <c r="AF20" s="112" t="s">
        <v>198</v>
      </c>
      <c r="AG20" s="101"/>
      <c r="AH20" s="102"/>
      <c r="AI20" s="112"/>
      <c r="AJ20" s="102"/>
      <c r="AK20" s="112"/>
      <c r="AL20" s="102"/>
      <c r="AM20" s="112"/>
      <c r="AN20" s="102"/>
      <c r="AO20" s="113"/>
      <c r="AP20" s="101"/>
      <c r="AQ20" s="101"/>
      <c r="AR20" s="101"/>
      <c r="AS20" s="102"/>
      <c r="AT20" s="103" t="s">
        <v>491</v>
      </c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21" customHeight="1">
      <c r="A21" s="1"/>
      <c r="B21" s="114">
        <f t="shared" si="0"/>
        <v>16</v>
      </c>
      <c r="C21" s="101"/>
      <c r="D21" s="102"/>
      <c r="E21" s="113" t="s">
        <v>4</v>
      </c>
      <c r="F21" s="101"/>
      <c r="G21" s="101"/>
      <c r="H21" s="101"/>
      <c r="I21" s="101"/>
      <c r="J21" s="101"/>
      <c r="K21" s="101"/>
      <c r="L21" s="101"/>
      <c r="M21" s="102"/>
      <c r="N21" s="103" t="s">
        <v>238</v>
      </c>
      <c r="O21" s="101"/>
      <c r="P21" s="101"/>
      <c r="Q21" s="101"/>
      <c r="R21" s="101"/>
      <c r="S21" s="101"/>
      <c r="T21" s="101"/>
      <c r="U21" s="101"/>
      <c r="V21" s="102"/>
      <c r="W21" s="103" t="s">
        <v>578</v>
      </c>
      <c r="X21" s="101"/>
      <c r="Y21" s="101"/>
      <c r="Z21" s="101"/>
      <c r="AA21" s="101"/>
      <c r="AB21" s="102"/>
      <c r="AC21" s="103"/>
      <c r="AD21" s="101"/>
      <c r="AE21" s="102"/>
      <c r="AF21" s="112" t="s">
        <v>198</v>
      </c>
      <c r="AG21" s="101"/>
      <c r="AH21" s="102"/>
      <c r="AI21" s="112"/>
      <c r="AJ21" s="102"/>
      <c r="AK21" s="112"/>
      <c r="AL21" s="102"/>
      <c r="AM21" s="112"/>
      <c r="AN21" s="102"/>
      <c r="AO21" s="103" t="s">
        <v>205</v>
      </c>
      <c r="AP21" s="101"/>
      <c r="AQ21" s="101"/>
      <c r="AR21" s="101"/>
      <c r="AS21" s="102"/>
      <c r="AT21" s="115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21" customHeight="1">
      <c r="A22" s="1"/>
      <c r="B22" s="114">
        <f t="shared" si="0"/>
        <v>17</v>
      </c>
      <c r="C22" s="101"/>
      <c r="D22" s="102"/>
      <c r="E22" s="113" t="s">
        <v>22</v>
      </c>
      <c r="F22" s="101"/>
      <c r="G22" s="101"/>
      <c r="H22" s="101"/>
      <c r="I22" s="101"/>
      <c r="J22" s="101"/>
      <c r="K22" s="101"/>
      <c r="L22" s="101"/>
      <c r="M22" s="102"/>
      <c r="N22" s="103" t="s">
        <v>204</v>
      </c>
      <c r="O22" s="101"/>
      <c r="P22" s="101"/>
      <c r="Q22" s="101"/>
      <c r="R22" s="101"/>
      <c r="S22" s="101"/>
      <c r="T22" s="101"/>
      <c r="U22" s="101"/>
      <c r="V22" s="102"/>
      <c r="W22" s="103" t="s">
        <v>578</v>
      </c>
      <c r="X22" s="101"/>
      <c r="Y22" s="101"/>
      <c r="Z22" s="101"/>
      <c r="AA22" s="101"/>
      <c r="AB22" s="102"/>
      <c r="AC22" s="103"/>
      <c r="AD22" s="101"/>
      <c r="AE22" s="102"/>
      <c r="AF22" s="112" t="s">
        <v>198</v>
      </c>
      <c r="AG22" s="101"/>
      <c r="AH22" s="102"/>
      <c r="AI22" s="112"/>
      <c r="AJ22" s="102"/>
      <c r="AK22" s="112"/>
      <c r="AL22" s="102"/>
      <c r="AM22" s="112"/>
      <c r="AN22" s="102"/>
      <c r="AO22" s="103" t="s">
        <v>395</v>
      </c>
      <c r="AP22" s="101"/>
      <c r="AQ22" s="101"/>
      <c r="AR22" s="101"/>
      <c r="AS22" s="102"/>
      <c r="AT22" s="115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ht="21" customHeight="1">
      <c r="A24" s="1"/>
      <c r="B24" s="1"/>
      <c r="C24" s="1" t="s">
        <v>492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ht="21" customHeight="1">
      <c r="A25" s="1"/>
      <c r="B25" s="1"/>
      <c r="C25" s="1" t="s">
        <v>493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501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ht="21" customHeight="1">
      <c r="A26" s="1"/>
      <c r="B26" s="1"/>
      <c r="C26" s="1" t="s">
        <v>494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ht="21" customHeight="1">
      <c r="A27" s="1"/>
      <c r="B27" s="1"/>
      <c r="C27" s="1" t="s">
        <v>495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ht="21" customHeight="1">
      <c r="A28" s="1"/>
      <c r="B28" s="1"/>
      <c r="C28" s="1" t="s">
        <v>496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ht="21" customHeight="1">
      <c r="A29" s="1"/>
      <c r="B29" s="1"/>
      <c r="C29" s="1" t="s">
        <v>497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ht="21" customHeight="1">
      <c r="A30" s="1"/>
      <c r="B30" s="1"/>
      <c r="C30" s="1" t="s">
        <v>498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ht="21" customHeight="1">
      <c r="A32" s="1"/>
      <c r="B32" s="1"/>
      <c r="C32" s="1" t="s">
        <v>499</v>
      </c>
      <c r="D32" s="3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ht="21" customHeight="1">
      <c r="A33" s="1"/>
      <c r="B33" s="1"/>
      <c r="C33" s="33" t="s">
        <v>500</v>
      </c>
      <c r="D33" s="3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ht="21" customHeight="1"/>
    <row r="36" spans="1:57" ht="21" customHeight="1"/>
    <row r="37" spans="1:57" ht="21" customHeight="1"/>
    <row r="38" spans="1:57" ht="21" customHeight="1"/>
    <row r="39" spans="1:57" ht="21" customHeight="1"/>
    <row r="40" spans="1:57" ht="21" customHeight="1"/>
    <row r="41" spans="1:57" ht="21" customHeight="1"/>
    <row r="42" spans="1:57" ht="21" customHeight="1"/>
    <row r="43" spans="1:57" ht="21" customHeight="1"/>
    <row r="44" spans="1:57" ht="21" customHeight="1"/>
    <row r="45" spans="1:57" ht="21" customHeight="1"/>
    <row r="46" spans="1:57" ht="21" customHeight="1"/>
    <row r="47" spans="1:57" ht="21" customHeight="1"/>
    <row r="48" spans="1:57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/>
    <row r="1006"/>
    <row r="1007"/>
  </sheetData>
  <mergeCells count="198">
    <mergeCell ref="AO18:AS18"/>
    <mergeCell ref="AT18:BE18"/>
    <mergeCell ref="B18:D18"/>
    <mergeCell ref="E18:M18"/>
    <mergeCell ref="N18:V18"/>
    <mergeCell ref="W18:AB18"/>
    <mergeCell ref="AC18:AE18"/>
    <mergeCell ref="AF18:AH18"/>
    <mergeCell ref="AI18:AJ18"/>
    <mergeCell ref="AK18:AL18"/>
    <mergeCell ref="AM18:AN18"/>
    <mergeCell ref="AO14:AS14"/>
    <mergeCell ref="AT14:BE14"/>
    <mergeCell ref="B15:D15"/>
    <mergeCell ref="E15:M15"/>
    <mergeCell ref="N15:V15"/>
    <mergeCell ref="W15:AB15"/>
    <mergeCell ref="AC15:AE15"/>
    <mergeCell ref="AF15:AH15"/>
    <mergeCell ref="AI15:AJ15"/>
    <mergeCell ref="AK15:AL15"/>
    <mergeCell ref="AM15:AN15"/>
    <mergeCell ref="AO15:AS15"/>
    <mergeCell ref="AT15:BE15"/>
    <mergeCell ref="B14:D14"/>
    <mergeCell ref="E14:M14"/>
    <mergeCell ref="N14:V14"/>
    <mergeCell ref="W14:AB14"/>
    <mergeCell ref="AC14:AE14"/>
    <mergeCell ref="AF14:AH14"/>
    <mergeCell ref="AI14:AJ14"/>
    <mergeCell ref="AK14:AL14"/>
    <mergeCell ref="AM14:AN14"/>
    <mergeCell ref="AO12:AS12"/>
    <mergeCell ref="AT12:BE12"/>
    <mergeCell ref="B13:D13"/>
    <mergeCell ref="E13:M13"/>
    <mergeCell ref="N13:V13"/>
    <mergeCell ref="W13:AB13"/>
    <mergeCell ref="AC13:AE13"/>
    <mergeCell ref="AF13:AH13"/>
    <mergeCell ref="AI13:AJ13"/>
    <mergeCell ref="AK13:AL13"/>
    <mergeCell ref="AM13:AN13"/>
    <mergeCell ref="AO13:AS13"/>
    <mergeCell ref="AT13:BE13"/>
    <mergeCell ref="B12:D12"/>
    <mergeCell ref="E12:M12"/>
    <mergeCell ref="N12:V12"/>
    <mergeCell ref="W12:AB12"/>
    <mergeCell ref="AC12:AE12"/>
    <mergeCell ref="AF12:AH12"/>
    <mergeCell ref="AI12:AJ12"/>
    <mergeCell ref="AK12:AL12"/>
    <mergeCell ref="AM12:AN12"/>
    <mergeCell ref="AO10:AS10"/>
    <mergeCell ref="AT10:BE10"/>
    <mergeCell ref="B11:D11"/>
    <mergeCell ref="E11:M11"/>
    <mergeCell ref="N11:V11"/>
    <mergeCell ref="W11:AB11"/>
    <mergeCell ref="AC11:AE11"/>
    <mergeCell ref="AF11:AH11"/>
    <mergeCell ref="AI11:AJ11"/>
    <mergeCell ref="AK11:AL11"/>
    <mergeCell ref="AM11:AN11"/>
    <mergeCell ref="AO11:AS11"/>
    <mergeCell ref="AT11:BE11"/>
    <mergeCell ref="B10:D10"/>
    <mergeCell ref="E10:M10"/>
    <mergeCell ref="N10:V10"/>
    <mergeCell ref="W10:AB10"/>
    <mergeCell ref="AC10:AE10"/>
    <mergeCell ref="AF10:AH10"/>
    <mergeCell ref="AI10:AJ10"/>
    <mergeCell ref="AK10:AL10"/>
    <mergeCell ref="AM10:AN10"/>
    <mergeCell ref="AK22:AL22"/>
    <mergeCell ref="AM22:AN22"/>
    <mergeCell ref="AO22:AS22"/>
    <mergeCell ref="AT22:BE22"/>
    <mergeCell ref="B22:D22"/>
    <mergeCell ref="E22:M22"/>
    <mergeCell ref="N22:V22"/>
    <mergeCell ref="W22:AB22"/>
    <mergeCell ref="AC22:AE22"/>
    <mergeCell ref="AF22:AH22"/>
    <mergeCell ref="AI22:AJ22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21:AL21"/>
    <mergeCell ref="AM21:AN21"/>
    <mergeCell ref="AO21:AS21"/>
    <mergeCell ref="AT21:BE21"/>
    <mergeCell ref="B21:D21"/>
    <mergeCell ref="E21:M21"/>
    <mergeCell ref="N21:V21"/>
    <mergeCell ref="W21:AB21"/>
    <mergeCell ref="AC21:AE21"/>
    <mergeCell ref="AF21:AH21"/>
    <mergeCell ref="AI21:AJ21"/>
    <mergeCell ref="AK20:AL20"/>
    <mergeCell ref="AM20:AN20"/>
    <mergeCell ref="AO20:AS20"/>
    <mergeCell ref="AT20:BE20"/>
    <mergeCell ref="B20:D20"/>
    <mergeCell ref="E20:M20"/>
    <mergeCell ref="N20:V20"/>
    <mergeCell ref="W20:AB20"/>
    <mergeCell ref="AC20:AE20"/>
    <mergeCell ref="AF20:AH20"/>
    <mergeCell ref="AI20:AJ20"/>
    <mergeCell ref="AK19:AL19"/>
    <mergeCell ref="AM19:AN19"/>
    <mergeCell ref="AO19:AS19"/>
    <mergeCell ref="AT19:BE19"/>
    <mergeCell ref="B19:D19"/>
    <mergeCell ref="E19:M19"/>
    <mergeCell ref="N19:V19"/>
    <mergeCell ref="W19:AB19"/>
    <mergeCell ref="AC19:AE19"/>
    <mergeCell ref="AF19:AH19"/>
    <mergeCell ref="AI19:AJ19"/>
    <mergeCell ref="AK17:AL17"/>
    <mergeCell ref="AM17:AN17"/>
    <mergeCell ref="AO17:AS17"/>
    <mergeCell ref="AT17:BE17"/>
    <mergeCell ref="B17:D17"/>
    <mergeCell ref="E17:M17"/>
    <mergeCell ref="N17:V17"/>
    <mergeCell ref="W17:AB17"/>
    <mergeCell ref="AC17:AE17"/>
    <mergeCell ref="AF17:AH17"/>
    <mergeCell ref="AI17:AJ17"/>
    <mergeCell ref="AK16:AL16"/>
    <mergeCell ref="AM16:AN16"/>
    <mergeCell ref="AO16:AS16"/>
    <mergeCell ref="AT16:BE16"/>
    <mergeCell ref="B16:D16"/>
    <mergeCell ref="E16:M16"/>
    <mergeCell ref="N16:V16"/>
    <mergeCell ref="W16:AB16"/>
    <mergeCell ref="AC16:AE16"/>
    <mergeCell ref="AF16:AH16"/>
    <mergeCell ref="AI16:AJ16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622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486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860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5" t="s">
        <v>747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 t="shared" ref="B6:B14" si="0">ROW()-5</f>
        <v>1</v>
      </c>
      <c r="C6" s="101"/>
      <c r="D6" s="102"/>
      <c r="E6" s="113" t="s">
        <v>654</v>
      </c>
      <c r="F6" s="101"/>
      <c r="G6" s="101"/>
      <c r="H6" s="101"/>
      <c r="I6" s="101"/>
      <c r="J6" s="101"/>
      <c r="K6" s="101"/>
      <c r="L6" s="101"/>
      <c r="M6" s="102"/>
      <c r="N6" s="113" t="s">
        <v>748</v>
      </c>
      <c r="O6" s="101"/>
      <c r="P6" s="101"/>
      <c r="Q6" s="101"/>
      <c r="R6" s="101"/>
      <c r="S6" s="101"/>
      <c r="T6" s="101"/>
      <c r="U6" s="101"/>
      <c r="V6" s="102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si="0"/>
        <v>2</v>
      </c>
      <c r="C7" s="101"/>
      <c r="D7" s="102"/>
      <c r="E7" s="113" t="s">
        <v>254</v>
      </c>
      <c r="F7" s="101"/>
      <c r="G7" s="101"/>
      <c r="H7" s="101"/>
      <c r="I7" s="101"/>
      <c r="J7" s="101"/>
      <c r="K7" s="101"/>
      <c r="L7" s="101"/>
      <c r="M7" s="102"/>
      <c r="N7" s="113" t="s">
        <v>624</v>
      </c>
      <c r="O7" s="101"/>
      <c r="P7" s="101"/>
      <c r="Q7" s="101"/>
      <c r="R7" s="101"/>
      <c r="S7" s="101"/>
      <c r="T7" s="101"/>
      <c r="U7" s="101"/>
      <c r="V7" s="102"/>
      <c r="W7" s="113" t="s">
        <v>577</v>
      </c>
      <c r="X7" s="101"/>
      <c r="Y7" s="101"/>
      <c r="Z7" s="101"/>
      <c r="AA7" s="101"/>
      <c r="AB7" s="102"/>
      <c r="AC7" s="113"/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 t="s">
        <v>198</v>
      </c>
      <c r="AN7" s="102"/>
      <c r="AO7" s="113"/>
      <c r="AP7" s="101"/>
      <c r="AQ7" s="101"/>
      <c r="AR7" s="101"/>
      <c r="AS7" s="102"/>
      <c r="AT7" s="113" t="s">
        <v>851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210</v>
      </c>
      <c r="F8" s="101"/>
      <c r="G8" s="101"/>
      <c r="H8" s="101"/>
      <c r="I8" s="101"/>
      <c r="J8" s="101"/>
      <c r="K8" s="101"/>
      <c r="L8" s="101"/>
      <c r="M8" s="102"/>
      <c r="N8" s="113" t="s">
        <v>859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857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202</v>
      </c>
      <c r="F9" s="101"/>
      <c r="G9" s="101"/>
      <c r="H9" s="101"/>
      <c r="I9" s="101"/>
      <c r="J9" s="101"/>
      <c r="K9" s="101"/>
      <c r="L9" s="101"/>
      <c r="M9" s="102"/>
      <c r="N9" s="113" t="s">
        <v>850</v>
      </c>
      <c r="O9" s="101"/>
      <c r="P9" s="101"/>
      <c r="Q9" s="101"/>
      <c r="R9" s="101"/>
      <c r="S9" s="101"/>
      <c r="T9" s="101"/>
      <c r="U9" s="101"/>
      <c r="V9" s="102"/>
      <c r="W9" s="113" t="s">
        <v>577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 t="s">
        <v>198</v>
      </c>
      <c r="AN9" s="102"/>
      <c r="AO9" s="113"/>
      <c r="AP9" s="101"/>
      <c r="AQ9" s="101"/>
      <c r="AR9" s="101"/>
      <c r="AS9" s="102"/>
      <c r="AT9" s="113" t="s">
        <v>843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14">
        <f t="shared" si="0"/>
        <v>5</v>
      </c>
      <c r="C10" s="101"/>
      <c r="D10" s="102"/>
      <c r="E10" s="113" t="s">
        <v>502</v>
      </c>
      <c r="F10" s="101"/>
      <c r="G10" s="101"/>
      <c r="H10" s="101"/>
      <c r="I10" s="101"/>
      <c r="J10" s="101"/>
      <c r="K10" s="101"/>
      <c r="L10" s="101"/>
      <c r="M10" s="102"/>
      <c r="N10" s="115" t="s">
        <v>503</v>
      </c>
      <c r="O10" s="101"/>
      <c r="P10" s="101"/>
      <c r="Q10" s="101"/>
      <c r="R10" s="101"/>
      <c r="S10" s="101"/>
      <c r="T10" s="101"/>
      <c r="U10" s="101"/>
      <c r="V10" s="102"/>
      <c r="W10" s="113" t="s">
        <v>583</v>
      </c>
      <c r="X10" s="101"/>
      <c r="Y10" s="101"/>
      <c r="Z10" s="101"/>
      <c r="AA10" s="101"/>
      <c r="AB10" s="102"/>
      <c r="AC10" s="113" t="s">
        <v>228</v>
      </c>
      <c r="AD10" s="101"/>
      <c r="AE10" s="102"/>
      <c r="AF10" s="112" t="s">
        <v>198</v>
      </c>
      <c r="AG10" s="101"/>
      <c r="AH10" s="102"/>
      <c r="AI10" s="112"/>
      <c r="AJ10" s="102"/>
      <c r="AK10" s="112"/>
      <c r="AL10" s="102"/>
      <c r="AM10" s="112"/>
      <c r="AN10" s="102"/>
      <c r="AO10" s="113"/>
      <c r="AP10" s="101"/>
      <c r="AQ10" s="101"/>
      <c r="AR10" s="101"/>
      <c r="AS10" s="102"/>
      <c r="AT10" s="113" t="s">
        <v>504</v>
      </c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21" customHeight="1">
      <c r="A11" s="1"/>
      <c r="B11" s="114">
        <f t="shared" si="0"/>
        <v>6</v>
      </c>
      <c r="C11" s="101"/>
      <c r="D11" s="102"/>
      <c r="E11" s="113" t="s">
        <v>505</v>
      </c>
      <c r="F11" s="101"/>
      <c r="G11" s="101"/>
      <c r="H11" s="101"/>
      <c r="I11" s="101"/>
      <c r="J11" s="101"/>
      <c r="K11" s="101"/>
      <c r="L11" s="101"/>
      <c r="M11" s="102"/>
      <c r="N11" s="103" t="s">
        <v>506</v>
      </c>
      <c r="O11" s="101"/>
      <c r="P11" s="101"/>
      <c r="Q11" s="101"/>
      <c r="R11" s="101"/>
      <c r="S11" s="101"/>
      <c r="T11" s="101"/>
      <c r="U11" s="101"/>
      <c r="V11" s="102"/>
      <c r="W11" s="113" t="s">
        <v>583</v>
      </c>
      <c r="X11" s="101"/>
      <c r="Y11" s="101"/>
      <c r="Z11" s="101"/>
      <c r="AA11" s="101"/>
      <c r="AB11" s="102"/>
      <c r="AC11" s="113" t="s">
        <v>228</v>
      </c>
      <c r="AD11" s="101"/>
      <c r="AE11" s="102"/>
      <c r="AF11" s="112" t="s">
        <v>198</v>
      </c>
      <c r="AG11" s="101"/>
      <c r="AH11" s="102"/>
      <c r="AI11" s="112"/>
      <c r="AJ11" s="102"/>
      <c r="AK11" s="112"/>
      <c r="AL11" s="102"/>
      <c r="AM11" s="112"/>
      <c r="AN11" s="102"/>
      <c r="AO11" s="113"/>
      <c r="AP11" s="101"/>
      <c r="AQ11" s="101"/>
      <c r="AR11" s="101"/>
      <c r="AS11" s="102"/>
      <c r="AT11" s="113" t="s">
        <v>507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1"/>
      <c r="B12" s="114">
        <f t="shared" si="0"/>
        <v>7</v>
      </c>
      <c r="C12" s="101"/>
      <c r="D12" s="102"/>
      <c r="E12" s="113" t="s">
        <v>508</v>
      </c>
      <c r="F12" s="101"/>
      <c r="G12" s="101"/>
      <c r="H12" s="101"/>
      <c r="I12" s="101"/>
      <c r="J12" s="101"/>
      <c r="K12" s="101"/>
      <c r="L12" s="101"/>
      <c r="M12" s="102"/>
      <c r="N12" s="103" t="s">
        <v>509</v>
      </c>
      <c r="O12" s="101"/>
      <c r="P12" s="101"/>
      <c r="Q12" s="101"/>
      <c r="R12" s="101"/>
      <c r="S12" s="101"/>
      <c r="T12" s="101"/>
      <c r="U12" s="101"/>
      <c r="V12" s="102"/>
      <c r="W12" s="113" t="s">
        <v>583</v>
      </c>
      <c r="X12" s="101"/>
      <c r="Y12" s="101"/>
      <c r="Z12" s="101"/>
      <c r="AA12" s="101"/>
      <c r="AB12" s="102"/>
      <c r="AC12" s="113" t="s">
        <v>228</v>
      </c>
      <c r="AD12" s="101"/>
      <c r="AE12" s="102"/>
      <c r="AF12" s="112" t="s">
        <v>198</v>
      </c>
      <c r="AG12" s="101"/>
      <c r="AH12" s="102"/>
      <c r="AI12" s="112"/>
      <c r="AJ12" s="102"/>
      <c r="AK12" s="112"/>
      <c r="AL12" s="102"/>
      <c r="AM12" s="112"/>
      <c r="AN12" s="102"/>
      <c r="AO12" s="113"/>
      <c r="AP12" s="101"/>
      <c r="AQ12" s="101"/>
      <c r="AR12" s="101"/>
      <c r="AS12" s="102"/>
      <c r="AT12" s="113" t="s">
        <v>510</v>
      </c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21" customHeight="1">
      <c r="A13" s="1"/>
      <c r="B13" s="114">
        <f t="shared" si="0"/>
        <v>8</v>
      </c>
      <c r="C13" s="101"/>
      <c r="D13" s="102"/>
      <c r="E13" s="113" t="s">
        <v>4</v>
      </c>
      <c r="F13" s="101"/>
      <c r="G13" s="101"/>
      <c r="H13" s="101"/>
      <c r="I13" s="101"/>
      <c r="J13" s="101"/>
      <c r="K13" s="101"/>
      <c r="L13" s="101"/>
      <c r="M13" s="102"/>
      <c r="N13" s="103" t="s">
        <v>238</v>
      </c>
      <c r="O13" s="101"/>
      <c r="P13" s="101"/>
      <c r="Q13" s="101"/>
      <c r="R13" s="101"/>
      <c r="S13" s="101"/>
      <c r="T13" s="101"/>
      <c r="U13" s="101"/>
      <c r="V13" s="102"/>
      <c r="W13" s="103" t="s">
        <v>578</v>
      </c>
      <c r="X13" s="101"/>
      <c r="Y13" s="101"/>
      <c r="Z13" s="101"/>
      <c r="AA13" s="101"/>
      <c r="AB13" s="102"/>
      <c r="AC13" s="103"/>
      <c r="AD13" s="101"/>
      <c r="AE13" s="102"/>
      <c r="AF13" s="112" t="s">
        <v>198</v>
      </c>
      <c r="AG13" s="101"/>
      <c r="AH13" s="102"/>
      <c r="AI13" s="112"/>
      <c r="AJ13" s="102"/>
      <c r="AK13" s="112"/>
      <c r="AL13" s="102"/>
      <c r="AM13" s="112"/>
      <c r="AN13" s="102"/>
      <c r="AO13" s="103" t="s">
        <v>205</v>
      </c>
      <c r="AP13" s="101"/>
      <c r="AQ13" s="101"/>
      <c r="AR13" s="101"/>
      <c r="AS13" s="102"/>
      <c r="AT13" s="115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21" customHeight="1">
      <c r="A14" s="1"/>
      <c r="B14" s="114">
        <f t="shared" si="0"/>
        <v>9</v>
      </c>
      <c r="C14" s="101"/>
      <c r="D14" s="102"/>
      <c r="E14" s="113" t="s">
        <v>22</v>
      </c>
      <c r="F14" s="101"/>
      <c r="G14" s="101"/>
      <c r="H14" s="101"/>
      <c r="I14" s="101"/>
      <c r="J14" s="101"/>
      <c r="K14" s="101"/>
      <c r="L14" s="101"/>
      <c r="M14" s="102"/>
      <c r="N14" s="103" t="s">
        <v>204</v>
      </c>
      <c r="O14" s="101"/>
      <c r="P14" s="101"/>
      <c r="Q14" s="101"/>
      <c r="R14" s="101"/>
      <c r="S14" s="101"/>
      <c r="T14" s="101"/>
      <c r="U14" s="101"/>
      <c r="V14" s="102"/>
      <c r="W14" s="103" t="s">
        <v>578</v>
      </c>
      <c r="X14" s="101"/>
      <c r="Y14" s="101"/>
      <c r="Z14" s="101"/>
      <c r="AA14" s="101"/>
      <c r="AB14" s="102"/>
      <c r="AC14" s="103"/>
      <c r="AD14" s="101"/>
      <c r="AE14" s="102"/>
      <c r="AF14" s="112" t="s">
        <v>198</v>
      </c>
      <c r="AG14" s="101"/>
      <c r="AH14" s="102"/>
      <c r="AI14" s="112"/>
      <c r="AJ14" s="102"/>
      <c r="AK14" s="112"/>
      <c r="AL14" s="102"/>
      <c r="AM14" s="112"/>
      <c r="AN14" s="102"/>
      <c r="AO14" s="137" t="s">
        <v>395</v>
      </c>
      <c r="AP14" s="119"/>
      <c r="AQ14" s="119"/>
      <c r="AR14" s="119"/>
      <c r="AS14" s="120"/>
      <c r="AT14" s="115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21" customHeight="1">
      <c r="A16" s="1"/>
      <c r="B16" s="1" t="s">
        <v>511</v>
      </c>
      <c r="C16" s="1"/>
      <c r="D16" s="1"/>
      <c r="E16" s="1"/>
      <c r="F16" s="1"/>
      <c r="G16" s="1"/>
      <c r="H16" s="1"/>
      <c r="I16" s="1"/>
      <c r="J16" s="8"/>
      <c r="K16" s="1"/>
      <c r="L16" s="1"/>
      <c r="M16" s="1"/>
      <c r="N16" s="1"/>
      <c r="O16" s="1"/>
      <c r="P16" s="1" t="s">
        <v>491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ht="21" customHeight="1"/>
    <row r="23" spans="1:57" ht="21" customHeight="1"/>
    <row r="24" spans="1:57" ht="21" customHeight="1"/>
    <row r="25" spans="1:57" ht="21" customHeight="1"/>
    <row r="26" spans="1:57" ht="21" customHeight="1"/>
    <row r="27" spans="1:57" ht="21" customHeight="1"/>
    <row r="28" spans="1:57" ht="21" customHeight="1"/>
    <row r="29" spans="1:57" ht="21" customHeight="1"/>
    <row r="30" spans="1:57" ht="21" customHeight="1"/>
    <row r="31" spans="1:57" ht="21" customHeight="1"/>
    <row r="32" spans="1:57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/>
    <row r="1000"/>
  </sheetData>
  <mergeCells count="110">
    <mergeCell ref="AK14:AL14"/>
    <mergeCell ref="AM14:AN14"/>
    <mergeCell ref="AO14:AS14"/>
    <mergeCell ref="AT14:BE14"/>
    <mergeCell ref="B14:D14"/>
    <mergeCell ref="E14:M14"/>
    <mergeCell ref="N14:V14"/>
    <mergeCell ref="W14:AB14"/>
    <mergeCell ref="AC14:AE14"/>
    <mergeCell ref="AF14:AH14"/>
    <mergeCell ref="AI14:AJ14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</mergeCells>
  <phoneticPr fontId="12"/>
  <pageMargins left="0.70866141732283472" right="0.70866141732283472" top="0.74803149606299213" bottom="0.74803149606299213" header="0" footer="0"/>
  <pageSetup paperSize="9" scale="6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BE997"/>
  <sheetViews>
    <sheetView showGridLines="0" zoomScaleNormal="100" workbookViewId="0"/>
  </sheetViews>
  <sheetFormatPr defaultColWidth="14.42578125" defaultRowHeight="15" customHeight="1"/>
  <cols>
    <col min="1" max="58" width="3.28515625" customWidth="1"/>
  </cols>
  <sheetData>
    <row r="1" spans="1:57" ht="21" customHeight="1">
      <c r="A1" s="29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115</v>
      </c>
      <c r="Q1" s="3"/>
      <c r="R1" s="3"/>
      <c r="S1" s="3"/>
      <c r="T1" s="4"/>
      <c r="U1" s="5" t="s">
        <v>187</v>
      </c>
      <c r="V1" s="6"/>
      <c r="W1" s="6"/>
      <c r="X1" s="6"/>
      <c r="Y1" s="6"/>
      <c r="Z1" s="6"/>
      <c r="AA1" s="6"/>
      <c r="AB1" s="6"/>
      <c r="AC1" s="7"/>
      <c r="AD1" s="2" t="s">
        <v>4</v>
      </c>
      <c r="AE1" s="3"/>
      <c r="AF1" s="3"/>
      <c r="AG1" s="3"/>
      <c r="AH1" s="4"/>
      <c r="AI1" s="5" t="s">
        <v>512</v>
      </c>
      <c r="AJ1" s="6"/>
      <c r="AK1" s="6"/>
      <c r="AL1" s="6"/>
      <c r="AM1" s="6"/>
      <c r="AN1" s="6"/>
      <c r="AO1" s="6"/>
      <c r="AP1" s="6"/>
      <c r="AQ1" s="7"/>
      <c r="AR1" s="2" t="s">
        <v>6</v>
      </c>
      <c r="AS1" s="3"/>
      <c r="AT1" s="3"/>
      <c r="AU1" s="3"/>
      <c r="AV1" s="4"/>
      <c r="AW1" s="5" t="s">
        <v>887</v>
      </c>
      <c r="AX1" s="6"/>
      <c r="AY1" s="6"/>
      <c r="AZ1" s="6"/>
      <c r="BA1" s="6"/>
      <c r="BB1" s="6"/>
      <c r="BC1" s="6"/>
      <c r="BD1" s="6"/>
      <c r="BE1" s="7"/>
    </row>
    <row r="2" spans="1:57" ht="21" customHeight="1">
      <c r="A2" s="1"/>
      <c r="B2" s="2" t="s">
        <v>8</v>
      </c>
      <c r="C2" s="3"/>
      <c r="D2" s="3"/>
      <c r="E2" s="3"/>
      <c r="F2" s="4"/>
      <c r="G2" s="5" t="s">
        <v>3</v>
      </c>
      <c r="H2" s="6"/>
      <c r="I2" s="6"/>
      <c r="J2" s="6"/>
      <c r="K2" s="6"/>
      <c r="L2" s="6"/>
      <c r="M2" s="6"/>
      <c r="N2" s="6"/>
      <c r="O2" s="7"/>
      <c r="P2" s="2" t="s">
        <v>116</v>
      </c>
      <c r="Q2" s="3"/>
      <c r="R2" s="3"/>
      <c r="S2" s="3"/>
      <c r="T2" s="4"/>
      <c r="U2" s="30" t="s">
        <v>655</v>
      </c>
      <c r="V2" s="6"/>
      <c r="W2" s="6"/>
      <c r="X2" s="6"/>
      <c r="Y2" s="6"/>
      <c r="Z2" s="6"/>
      <c r="AA2" s="6"/>
      <c r="AB2" s="6"/>
      <c r="AC2" s="7"/>
      <c r="AD2" s="2" t="s">
        <v>11</v>
      </c>
      <c r="AE2" s="3"/>
      <c r="AF2" s="3"/>
      <c r="AG2" s="3"/>
      <c r="AH2" s="4"/>
      <c r="AI2" s="5" t="s">
        <v>14</v>
      </c>
      <c r="AJ2" s="6"/>
      <c r="AK2" s="6"/>
      <c r="AL2" s="6"/>
      <c r="AM2" s="6"/>
      <c r="AN2" s="6"/>
      <c r="AO2" s="6"/>
      <c r="AP2" s="6"/>
      <c r="AQ2" s="7"/>
      <c r="AR2" s="2" t="s">
        <v>13</v>
      </c>
      <c r="AS2" s="3"/>
      <c r="AT2" s="3"/>
      <c r="AU2" s="3"/>
      <c r="AV2" s="4"/>
      <c r="AW2" s="5" t="s">
        <v>658</v>
      </c>
      <c r="AX2" s="6"/>
      <c r="AY2" s="6"/>
      <c r="AZ2" s="6"/>
      <c r="BA2" s="6"/>
      <c r="BB2" s="6"/>
      <c r="BC2" s="6"/>
      <c r="BD2" s="6"/>
      <c r="BE2" s="7"/>
    </row>
    <row r="3" spans="1:5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21" customHeight="1">
      <c r="A5" s="1"/>
      <c r="B5" s="110" t="s">
        <v>17</v>
      </c>
      <c r="C5" s="101"/>
      <c r="D5" s="102"/>
      <c r="E5" s="110" t="s">
        <v>115</v>
      </c>
      <c r="F5" s="101"/>
      <c r="G5" s="101"/>
      <c r="H5" s="101"/>
      <c r="I5" s="101"/>
      <c r="J5" s="101"/>
      <c r="K5" s="101"/>
      <c r="L5" s="101"/>
      <c r="M5" s="102"/>
      <c r="N5" s="110" t="s">
        <v>116</v>
      </c>
      <c r="O5" s="101"/>
      <c r="P5" s="101"/>
      <c r="Q5" s="101"/>
      <c r="R5" s="101"/>
      <c r="S5" s="101"/>
      <c r="T5" s="101"/>
      <c r="U5" s="101"/>
      <c r="V5" s="102"/>
      <c r="W5" s="110" t="s">
        <v>190</v>
      </c>
      <c r="X5" s="101"/>
      <c r="Y5" s="101"/>
      <c r="Z5" s="101"/>
      <c r="AA5" s="101"/>
      <c r="AB5" s="102"/>
      <c r="AC5" s="110" t="s">
        <v>191</v>
      </c>
      <c r="AD5" s="101"/>
      <c r="AE5" s="102"/>
      <c r="AF5" s="110" t="s">
        <v>192</v>
      </c>
      <c r="AG5" s="101"/>
      <c r="AH5" s="102"/>
      <c r="AI5" s="110" t="s">
        <v>193</v>
      </c>
      <c r="AJ5" s="102"/>
      <c r="AK5" s="110" t="s">
        <v>194</v>
      </c>
      <c r="AL5" s="102"/>
      <c r="AM5" s="110" t="s">
        <v>195</v>
      </c>
      <c r="AN5" s="102"/>
      <c r="AO5" s="110" t="s">
        <v>196</v>
      </c>
      <c r="AP5" s="101"/>
      <c r="AQ5" s="101"/>
      <c r="AR5" s="101"/>
      <c r="AS5" s="102"/>
      <c r="AT5" s="110" t="s">
        <v>23</v>
      </c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21" customHeight="1">
      <c r="A6" s="1"/>
      <c r="B6" s="114">
        <f>ROW()-5</f>
        <v>1</v>
      </c>
      <c r="C6" s="101"/>
      <c r="D6" s="102"/>
      <c r="E6" s="113" t="s">
        <v>513</v>
      </c>
      <c r="F6" s="101"/>
      <c r="G6" s="101"/>
      <c r="H6" s="101"/>
      <c r="I6" s="101"/>
      <c r="J6" s="101"/>
      <c r="K6" s="101"/>
      <c r="L6" s="101"/>
      <c r="M6" s="102"/>
      <c r="N6" s="118" t="s">
        <v>656</v>
      </c>
      <c r="O6" s="119"/>
      <c r="P6" s="119"/>
      <c r="Q6" s="119"/>
      <c r="R6" s="119"/>
      <c r="S6" s="119"/>
      <c r="T6" s="119"/>
      <c r="U6" s="119"/>
      <c r="V6" s="120"/>
      <c r="W6" s="113" t="s">
        <v>579</v>
      </c>
      <c r="X6" s="101"/>
      <c r="Y6" s="101"/>
      <c r="Z6" s="101"/>
      <c r="AA6" s="101"/>
      <c r="AB6" s="102"/>
      <c r="AC6" s="113"/>
      <c r="AD6" s="101"/>
      <c r="AE6" s="102"/>
      <c r="AF6" s="112" t="s">
        <v>198</v>
      </c>
      <c r="AG6" s="101"/>
      <c r="AH6" s="102"/>
      <c r="AI6" s="112" t="s">
        <v>198</v>
      </c>
      <c r="AJ6" s="102"/>
      <c r="AK6" s="112" t="s">
        <v>198</v>
      </c>
      <c r="AL6" s="102"/>
      <c r="AM6" s="112"/>
      <c r="AN6" s="102"/>
      <c r="AO6" s="113"/>
      <c r="AP6" s="101"/>
      <c r="AQ6" s="101"/>
      <c r="AR6" s="101"/>
      <c r="AS6" s="102"/>
      <c r="AT6" s="113" t="s">
        <v>199</v>
      </c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21" customHeight="1">
      <c r="A7" s="1"/>
      <c r="B7" s="114">
        <f t="shared" ref="B7:B9" si="0">ROW()-5</f>
        <v>2</v>
      </c>
      <c r="C7" s="101"/>
      <c r="D7" s="102"/>
      <c r="E7" s="113" t="s">
        <v>514</v>
      </c>
      <c r="F7" s="101"/>
      <c r="G7" s="101"/>
      <c r="H7" s="101"/>
      <c r="I7" s="101"/>
      <c r="J7" s="101"/>
      <c r="K7" s="101"/>
      <c r="L7" s="101"/>
      <c r="M7" s="102"/>
      <c r="N7" s="113" t="s">
        <v>515</v>
      </c>
      <c r="O7" s="101"/>
      <c r="P7" s="101"/>
      <c r="Q7" s="101"/>
      <c r="R7" s="101"/>
      <c r="S7" s="101"/>
      <c r="T7" s="101"/>
      <c r="U7" s="101"/>
      <c r="V7" s="102"/>
      <c r="W7" s="113" t="s">
        <v>597</v>
      </c>
      <c r="X7" s="101"/>
      <c r="Y7" s="101"/>
      <c r="Z7" s="101"/>
      <c r="AA7" s="101"/>
      <c r="AB7" s="102"/>
      <c r="AC7" s="113" t="s">
        <v>102</v>
      </c>
      <c r="AD7" s="101"/>
      <c r="AE7" s="102"/>
      <c r="AF7" s="112" t="s">
        <v>198</v>
      </c>
      <c r="AG7" s="101"/>
      <c r="AH7" s="102"/>
      <c r="AI7" s="112"/>
      <c r="AJ7" s="102"/>
      <c r="AK7" s="112"/>
      <c r="AL7" s="102"/>
      <c r="AM7" s="112"/>
      <c r="AN7" s="102"/>
      <c r="AO7" s="113"/>
      <c r="AP7" s="101"/>
      <c r="AQ7" s="101"/>
      <c r="AR7" s="101"/>
      <c r="AS7" s="102"/>
      <c r="AT7" s="113" t="s">
        <v>516</v>
      </c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21" customHeight="1">
      <c r="A8" s="1"/>
      <c r="B8" s="114">
        <f t="shared" si="0"/>
        <v>3</v>
      </c>
      <c r="C8" s="101"/>
      <c r="D8" s="102"/>
      <c r="E8" s="113" t="s">
        <v>517</v>
      </c>
      <c r="F8" s="101"/>
      <c r="G8" s="101"/>
      <c r="H8" s="101"/>
      <c r="I8" s="101"/>
      <c r="J8" s="101"/>
      <c r="K8" s="101"/>
      <c r="L8" s="101"/>
      <c r="M8" s="102"/>
      <c r="N8" s="113" t="s">
        <v>518</v>
      </c>
      <c r="O8" s="101"/>
      <c r="P8" s="101"/>
      <c r="Q8" s="101"/>
      <c r="R8" s="101"/>
      <c r="S8" s="101"/>
      <c r="T8" s="101"/>
      <c r="U8" s="101"/>
      <c r="V8" s="102"/>
      <c r="W8" s="113" t="s">
        <v>577</v>
      </c>
      <c r="X8" s="101"/>
      <c r="Y8" s="101"/>
      <c r="Z8" s="101"/>
      <c r="AA8" s="101"/>
      <c r="AB8" s="102"/>
      <c r="AC8" s="113"/>
      <c r="AD8" s="101"/>
      <c r="AE8" s="102"/>
      <c r="AF8" s="112" t="s">
        <v>198</v>
      </c>
      <c r="AG8" s="101"/>
      <c r="AH8" s="102"/>
      <c r="AI8" s="112"/>
      <c r="AJ8" s="102"/>
      <c r="AK8" s="112"/>
      <c r="AL8" s="102"/>
      <c r="AM8" s="112" t="s">
        <v>198</v>
      </c>
      <c r="AN8" s="102"/>
      <c r="AO8" s="113"/>
      <c r="AP8" s="101"/>
      <c r="AQ8" s="101"/>
      <c r="AR8" s="101"/>
      <c r="AS8" s="102"/>
      <c r="AT8" s="113" t="s">
        <v>842</v>
      </c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21" customHeight="1">
      <c r="A9" s="1"/>
      <c r="B9" s="114">
        <f t="shared" si="0"/>
        <v>4</v>
      </c>
      <c r="C9" s="101"/>
      <c r="D9" s="102"/>
      <c r="E9" s="113" t="s">
        <v>4</v>
      </c>
      <c r="F9" s="101"/>
      <c r="G9" s="101"/>
      <c r="H9" s="101"/>
      <c r="I9" s="101"/>
      <c r="J9" s="101"/>
      <c r="K9" s="101"/>
      <c r="L9" s="101"/>
      <c r="M9" s="102"/>
      <c r="N9" s="113" t="s">
        <v>238</v>
      </c>
      <c r="O9" s="101"/>
      <c r="P9" s="101"/>
      <c r="Q9" s="101"/>
      <c r="R9" s="101"/>
      <c r="S9" s="101"/>
      <c r="T9" s="101"/>
      <c r="U9" s="101"/>
      <c r="V9" s="102"/>
      <c r="W9" s="113" t="s">
        <v>578</v>
      </c>
      <c r="X9" s="101"/>
      <c r="Y9" s="101"/>
      <c r="Z9" s="101"/>
      <c r="AA9" s="101"/>
      <c r="AB9" s="102"/>
      <c r="AC9" s="113"/>
      <c r="AD9" s="101"/>
      <c r="AE9" s="102"/>
      <c r="AF9" s="112" t="s">
        <v>198</v>
      </c>
      <c r="AG9" s="101"/>
      <c r="AH9" s="102"/>
      <c r="AI9" s="112"/>
      <c r="AJ9" s="102"/>
      <c r="AK9" s="112"/>
      <c r="AL9" s="102"/>
      <c r="AM9" s="112"/>
      <c r="AN9" s="102"/>
      <c r="AO9" s="113" t="s">
        <v>205</v>
      </c>
      <c r="AP9" s="101"/>
      <c r="AQ9" s="101"/>
      <c r="AR9" s="101"/>
      <c r="AS9" s="102"/>
      <c r="AT9" s="116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21" customHeight="1"/>
    <row r="12" spans="1:57" ht="21" customHeight="1"/>
    <row r="13" spans="1:57" ht="21" customHeight="1"/>
    <row r="14" spans="1:57" ht="21" customHeight="1"/>
    <row r="15" spans="1:57" ht="21" customHeight="1"/>
    <row r="16" spans="1:57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/>
    <row r="997"/>
  </sheetData>
  <mergeCells count="55">
    <mergeCell ref="AT9:BE9"/>
    <mergeCell ref="E9:M9"/>
    <mergeCell ref="N9:V9"/>
    <mergeCell ref="W9:AB9"/>
    <mergeCell ref="AC9:AE9"/>
    <mergeCell ref="AF9:AH9"/>
    <mergeCell ref="AI9:AJ9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T8:BE8"/>
    <mergeCell ref="E8:M8"/>
    <mergeCell ref="N8:V8"/>
    <mergeCell ref="W8:AB8"/>
    <mergeCell ref="AC8:AE8"/>
    <mergeCell ref="AF8:AH8"/>
    <mergeCell ref="AI8:AJ8"/>
    <mergeCell ref="B8:D8"/>
    <mergeCell ref="B9:D9"/>
    <mergeCell ref="AK8:AL8"/>
    <mergeCell ref="AM8:AN8"/>
    <mergeCell ref="AO8:AS8"/>
    <mergeCell ref="AK9:AL9"/>
    <mergeCell ref="AM9:AN9"/>
    <mergeCell ref="AO9:AS9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8AB-2054-481D-86F1-24BF4F060162}">
  <sheetPr>
    <pageSetUpPr fitToPage="1"/>
  </sheetPr>
  <dimension ref="A1:BE1001"/>
  <sheetViews>
    <sheetView showGridLines="0" zoomScaleNormal="100" workbookViewId="0"/>
  </sheetViews>
  <sheetFormatPr defaultColWidth="14.42578125" defaultRowHeight="15" customHeight="1"/>
  <cols>
    <col min="1" max="58" width="3.28515625" style="34" customWidth="1"/>
    <col min="59" max="16384" width="14.42578125" style="34"/>
  </cols>
  <sheetData>
    <row r="1" spans="1:57" ht="21" customHeight="1">
      <c r="A1" s="42"/>
      <c r="B1" s="41" t="s">
        <v>0</v>
      </c>
      <c r="C1" s="40"/>
      <c r="D1" s="40"/>
      <c r="E1" s="40"/>
      <c r="F1" s="39"/>
      <c r="G1" s="38" t="s">
        <v>1</v>
      </c>
      <c r="H1" s="37"/>
      <c r="I1" s="37"/>
      <c r="J1" s="37"/>
      <c r="K1" s="37"/>
      <c r="L1" s="37"/>
      <c r="M1" s="37"/>
      <c r="N1" s="37"/>
      <c r="O1" s="36"/>
      <c r="P1" s="41" t="s">
        <v>115</v>
      </c>
      <c r="Q1" s="40"/>
      <c r="R1" s="40"/>
      <c r="S1" s="40"/>
      <c r="T1" s="39"/>
      <c r="U1" s="38" t="s">
        <v>523</v>
      </c>
      <c r="V1" s="37"/>
      <c r="W1" s="37"/>
      <c r="X1" s="37"/>
      <c r="Y1" s="37"/>
      <c r="Z1" s="37"/>
      <c r="AA1" s="37"/>
      <c r="AB1" s="37"/>
      <c r="AC1" s="36"/>
      <c r="AD1" s="41" t="s">
        <v>4</v>
      </c>
      <c r="AE1" s="40"/>
      <c r="AF1" s="40"/>
      <c r="AG1" s="40"/>
      <c r="AH1" s="39"/>
      <c r="AI1" s="38" t="s">
        <v>522</v>
      </c>
      <c r="AJ1" s="37"/>
      <c r="AK1" s="37"/>
      <c r="AL1" s="37"/>
      <c r="AM1" s="37"/>
      <c r="AN1" s="37"/>
      <c r="AO1" s="37"/>
      <c r="AP1" s="37"/>
      <c r="AQ1" s="36"/>
      <c r="AR1" s="41" t="s">
        <v>6</v>
      </c>
      <c r="AS1" s="40"/>
      <c r="AT1" s="40"/>
      <c r="AU1" s="40"/>
      <c r="AV1" s="39"/>
      <c r="AW1" s="5" t="s">
        <v>992</v>
      </c>
      <c r="AX1" s="37"/>
      <c r="AY1" s="37"/>
      <c r="AZ1" s="37"/>
      <c r="BA1" s="37"/>
      <c r="BB1" s="37"/>
      <c r="BC1" s="37"/>
      <c r="BD1" s="37"/>
      <c r="BE1" s="36"/>
    </row>
    <row r="2" spans="1:57" ht="21" customHeight="1">
      <c r="A2" s="35"/>
      <c r="B2" s="41" t="s">
        <v>8</v>
      </c>
      <c r="C2" s="40"/>
      <c r="D2" s="40"/>
      <c r="E2" s="40"/>
      <c r="F2" s="39"/>
      <c r="G2" s="38" t="s">
        <v>3</v>
      </c>
      <c r="H2" s="37"/>
      <c r="I2" s="37"/>
      <c r="J2" s="37"/>
      <c r="K2" s="37"/>
      <c r="L2" s="37"/>
      <c r="M2" s="37"/>
      <c r="N2" s="37"/>
      <c r="O2" s="36"/>
      <c r="P2" s="41" t="s">
        <v>116</v>
      </c>
      <c r="Q2" s="40"/>
      <c r="R2" s="40"/>
      <c r="S2" s="40"/>
      <c r="T2" s="39"/>
      <c r="U2" s="38" t="s">
        <v>534</v>
      </c>
      <c r="V2" s="37"/>
      <c r="W2" s="37"/>
      <c r="X2" s="37"/>
      <c r="Y2" s="37"/>
      <c r="Z2" s="37"/>
      <c r="AA2" s="37"/>
      <c r="AB2" s="37"/>
      <c r="AC2" s="36"/>
      <c r="AD2" s="41" t="s">
        <v>11</v>
      </c>
      <c r="AE2" s="40"/>
      <c r="AF2" s="40"/>
      <c r="AG2" s="40"/>
      <c r="AH2" s="39"/>
      <c r="AI2" s="38" t="s">
        <v>521</v>
      </c>
      <c r="AJ2" s="37"/>
      <c r="AK2" s="37"/>
      <c r="AL2" s="37"/>
      <c r="AM2" s="37"/>
      <c r="AN2" s="37"/>
      <c r="AO2" s="37"/>
      <c r="AP2" s="37"/>
      <c r="AQ2" s="36"/>
      <c r="AR2" s="41" t="s">
        <v>13</v>
      </c>
      <c r="AS2" s="40"/>
      <c r="AT2" s="40"/>
      <c r="AU2" s="40"/>
      <c r="AV2" s="39"/>
      <c r="AW2" s="5" t="s">
        <v>917</v>
      </c>
      <c r="AX2" s="37"/>
      <c r="AY2" s="37"/>
      <c r="AZ2" s="37"/>
      <c r="BA2" s="37"/>
      <c r="BB2" s="37"/>
      <c r="BC2" s="37"/>
      <c r="BD2" s="37"/>
      <c r="BE2" s="36"/>
    </row>
    <row r="3" spans="1:57" ht="21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</row>
    <row r="4" spans="1:57" ht="21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</row>
    <row r="5" spans="1:57" ht="21" customHeight="1">
      <c r="A5" s="35"/>
      <c r="B5" s="167" t="s">
        <v>17</v>
      </c>
      <c r="C5" s="156"/>
      <c r="D5" s="157"/>
      <c r="E5" s="167" t="s">
        <v>115</v>
      </c>
      <c r="F5" s="156"/>
      <c r="G5" s="156"/>
      <c r="H5" s="156"/>
      <c r="I5" s="156"/>
      <c r="J5" s="156"/>
      <c r="K5" s="156"/>
      <c r="L5" s="156"/>
      <c r="M5" s="157"/>
      <c r="N5" s="167" t="s">
        <v>116</v>
      </c>
      <c r="O5" s="156"/>
      <c r="P5" s="156"/>
      <c r="Q5" s="156"/>
      <c r="R5" s="156"/>
      <c r="S5" s="156"/>
      <c r="T5" s="156"/>
      <c r="U5" s="156"/>
      <c r="V5" s="157"/>
      <c r="W5" s="167" t="s">
        <v>190</v>
      </c>
      <c r="X5" s="156"/>
      <c r="Y5" s="156"/>
      <c r="Z5" s="156"/>
      <c r="AA5" s="156"/>
      <c r="AB5" s="157"/>
      <c r="AC5" s="167" t="s">
        <v>191</v>
      </c>
      <c r="AD5" s="156"/>
      <c r="AE5" s="157"/>
      <c r="AF5" s="167" t="s">
        <v>192</v>
      </c>
      <c r="AG5" s="156"/>
      <c r="AH5" s="157"/>
      <c r="AI5" s="167" t="s">
        <v>193</v>
      </c>
      <c r="AJ5" s="157"/>
      <c r="AK5" s="167" t="s">
        <v>194</v>
      </c>
      <c r="AL5" s="157"/>
      <c r="AM5" s="167" t="s">
        <v>195</v>
      </c>
      <c r="AN5" s="157"/>
      <c r="AO5" s="167" t="s">
        <v>196</v>
      </c>
      <c r="AP5" s="156"/>
      <c r="AQ5" s="156"/>
      <c r="AR5" s="156"/>
      <c r="AS5" s="157"/>
      <c r="AT5" s="167" t="s">
        <v>23</v>
      </c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7"/>
    </row>
    <row r="6" spans="1:57" ht="21" customHeight="1">
      <c r="A6" s="35"/>
      <c r="B6" s="161">
        <f t="shared" ref="B6:B14" si="0">ROW()-5</f>
        <v>1</v>
      </c>
      <c r="C6" s="156"/>
      <c r="D6" s="157"/>
      <c r="E6" s="159" t="s">
        <v>520</v>
      </c>
      <c r="F6" s="156"/>
      <c r="G6" s="156"/>
      <c r="H6" s="156"/>
      <c r="I6" s="156"/>
      <c r="J6" s="156"/>
      <c r="K6" s="156"/>
      <c r="L6" s="156"/>
      <c r="M6" s="157"/>
      <c r="N6" s="165" t="s">
        <v>668</v>
      </c>
      <c r="O6" s="163"/>
      <c r="P6" s="163"/>
      <c r="Q6" s="163"/>
      <c r="R6" s="163"/>
      <c r="S6" s="163"/>
      <c r="T6" s="163"/>
      <c r="U6" s="163"/>
      <c r="V6" s="164"/>
      <c r="W6" s="159" t="s">
        <v>579</v>
      </c>
      <c r="X6" s="156"/>
      <c r="Y6" s="156"/>
      <c r="Z6" s="156"/>
      <c r="AA6" s="156"/>
      <c r="AB6" s="157"/>
      <c r="AC6" s="159"/>
      <c r="AD6" s="156"/>
      <c r="AE6" s="157"/>
      <c r="AF6" s="160" t="s">
        <v>198</v>
      </c>
      <c r="AG6" s="156"/>
      <c r="AH6" s="157"/>
      <c r="AI6" s="160" t="s">
        <v>198</v>
      </c>
      <c r="AJ6" s="157"/>
      <c r="AK6" s="160" t="s">
        <v>198</v>
      </c>
      <c r="AL6" s="157"/>
      <c r="AM6" s="160"/>
      <c r="AN6" s="157"/>
      <c r="AO6" s="159"/>
      <c r="AP6" s="156"/>
      <c r="AQ6" s="156"/>
      <c r="AR6" s="156"/>
      <c r="AS6" s="157"/>
      <c r="AT6" s="159" t="s">
        <v>199</v>
      </c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7"/>
    </row>
    <row r="7" spans="1:57" ht="21" customHeight="1">
      <c r="A7" s="35"/>
      <c r="B7" s="161">
        <f t="shared" si="0"/>
        <v>2</v>
      </c>
      <c r="C7" s="156"/>
      <c r="D7" s="157"/>
      <c r="E7" s="159" t="s">
        <v>478</v>
      </c>
      <c r="F7" s="156"/>
      <c r="G7" s="156"/>
      <c r="H7" s="156"/>
      <c r="I7" s="156"/>
      <c r="J7" s="156"/>
      <c r="K7" s="156"/>
      <c r="L7" s="156"/>
      <c r="M7" s="157"/>
      <c r="N7" s="159" t="s">
        <v>859</v>
      </c>
      <c r="O7" s="156"/>
      <c r="P7" s="156"/>
      <c r="Q7" s="156"/>
      <c r="R7" s="156"/>
      <c r="S7" s="156"/>
      <c r="T7" s="156"/>
      <c r="U7" s="156"/>
      <c r="V7" s="157"/>
      <c r="W7" s="159" t="s">
        <v>577</v>
      </c>
      <c r="X7" s="156"/>
      <c r="Y7" s="156"/>
      <c r="Z7" s="156"/>
      <c r="AA7" s="156"/>
      <c r="AB7" s="157"/>
      <c r="AC7" s="159"/>
      <c r="AD7" s="156"/>
      <c r="AE7" s="157"/>
      <c r="AF7" s="160" t="s">
        <v>198</v>
      </c>
      <c r="AG7" s="156"/>
      <c r="AH7" s="157"/>
      <c r="AI7" s="160"/>
      <c r="AJ7" s="157"/>
      <c r="AK7" s="160"/>
      <c r="AL7" s="157"/>
      <c r="AM7" s="160" t="s">
        <v>198</v>
      </c>
      <c r="AN7" s="157"/>
      <c r="AO7" s="159"/>
      <c r="AP7" s="156"/>
      <c r="AQ7" s="156"/>
      <c r="AR7" s="156"/>
      <c r="AS7" s="157"/>
      <c r="AT7" s="159" t="s">
        <v>857</v>
      </c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7"/>
    </row>
    <row r="8" spans="1:57" ht="21" customHeight="1">
      <c r="A8" s="35"/>
      <c r="B8" s="161">
        <f t="shared" si="0"/>
        <v>3</v>
      </c>
      <c r="C8" s="156"/>
      <c r="D8" s="157"/>
      <c r="E8" s="159" t="s">
        <v>202</v>
      </c>
      <c r="F8" s="156"/>
      <c r="G8" s="156"/>
      <c r="H8" s="156"/>
      <c r="I8" s="156"/>
      <c r="J8" s="156"/>
      <c r="K8" s="156"/>
      <c r="L8" s="156"/>
      <c r="M8" s="157"/>
      <c r="N8" s="159" t="s">
        <v>850</v>
      </c>
      <c r="O8" s="156"/>
      <c r="P8" s="156"/>
      <c r="Q8" s="156"/>
      <c r="R8" s="156"/>
      <c r="S8" s="156"/>
      <c r="T8" s="156"/>
      <c r="U8" s="156"/>
      <c r="V8" s="157"/>
      <c r="W8" s="159" t="s">
        <v>577</v>
      </c>
      <c r="X8" s="156"/>
      <c r="Y8" s="156"/>
      <c r="Z8" s="156"/>
      <c r="AA8" s="156"/>
      <c r="AB8" s="157"/>
      <c r="AC8" s="159"/>
      <c r="AD8" s="156"/>
      <c r="AE8" s="157"/>
      <c r="AF8" s="160" t="s">
        <v>198</v>
      </c>
      <c r="AG8" s="156"/>
      <c r="AH8" s="157"/>
      <c r="AI8" s="160"/>
      <c r="AJ8" s="157"/>
      <c r="AK8" s="160"/>
      <c r="AL8" s="157"/>
      <c r="AM8" s="160" t="s">
        <v>198</v>
      </c>
      <c r="AN8" s="157"/>
      <c r="AO8" s="159"/>
      <c r="AP8" s="156"/>
      <c r="AQ8" s="156"/>
      <c r="AR8" s="156"/>
      <c r="AS8" s="157"/>
      <c r="AT8" s="159" t="s">
        <v>843</v>
      </c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7"/>
    </row>
    <row r="9" spans="1:57" ht="21" customHeight="1">
      <c r="A9" s="35"/>
      <c r="B9" s="161">
        <f t="shared" si="0"/>
        <v>4</v>
      </c>
      <c r="C9" s="156"/>
      <c r="D9" s="157"/>
      <c r="E9" s="159" t="s">
        <v>717</v>
      </c>
      <c r="F9" s="156"/>
      <c r="G9" s="156"/>
      <c r="H9" s="156"/>
      <c r="I9" s="156"/>
      <c r="J9" s="156"/>
      <c r="K9" s="156"/>
      <c r="L9" s="156"/>
      <c r="M9" s="157"/>
      <c r="N9" s="166" t="s">
        <v>325</v>
      </c>
      <c r="O9" s="156"/>
      <c r="P9" s="156"/>
      <c r="Q9" s="156"/>
      <c r="R9" s="156"/>
      <c r="S9" s="156"/>
      <c r="T9" s="156"/>
      <c r="U9" s="156"/>
      <c r="V9" s="157"/>
      <c r="W9" s="113" t="s">
        <v>816</v>
      </c>
      <c r="X9" s="101"/>
      <c r="Y9" s="101"/>
      <c r="Z9" s="101"/>
      <c r="AA9" s="101"/>
      <c r="AB9" s="102"/>
      <c r="AC9" s="159" t="s">
        <v>602</v>
      </c>
      <c r="AD9" s="156"/>
      <c r="AE9" s="157"/>
      <c r="AF9" s="160" t="s">
        <v>198</v>
      </c>
      <c r="AG9" s="156"/>
      <c r="AH9" s="157"/>
      <c r="AI9" s="160"/>
      <c r="AJ9" s="157"/>
      <c r="AK9" s="160"/>
      <c r="AL9" s="157"/>
      <c r="AM9" s="160"/>
      <c r="AN9" s="157"/>
      <c r="AO9" s="159"/>
      <c r="AP9" s="156"/>
      <c r="AQ9" s="156"/>
      <c r="AR9" s="156"/>
      <c r="AS9" s="157"/>
      <c r="AT9" s="113" t="s">
        <v>817</v>
      </c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21" customHeight="1">
      <c r="A10" s="35"/>
      <c r="B10" s="161">
        <f t="shared" si="0"/>
        <v>5</v>
      </c>
      <c r="C10" s="156"/>
      <c r="D10" s="157"/>
      <c r="E10" s="159" t="s">
        <v>950</v>
      </c>
      <c r="F10" s="156"/>
      <c r="G10" s="156"/>
      <c r="H10" s="156"/>
      <c r="I10" s="156"/>
      <c r="J10" s="156"/>
      <c r="K10" s="156"/>
      <c r="L10" s="156"/>
      <c r="M10" s="157"/>
      <c r="N10" s="158" t="s">
        <v>714</v>
      </c>
      <c r="O10" s="156"/>
      <c r="P10" s="156"/>
      <c r="Q10" s="156"/>
      <c r="R10" s="156"/>
      <c r="S10" s="156"/>
      <c r="T10" s="156"/>
      <c r="U10" s="156"/>
      <c r="V10" s="157"/>
      <c r="W10" s="159" t="s">
        <v>583</v>
      </c>
      <c r="X10" s="156"/>
      <c r="Y10" s="156"/>
      <c r="Z10" s="156"/>
      <c r="AA10" s="156"/>
      <c r="AB10" s="157"/>
      <c r="AC10" s="159" t="s">
        <v>228</v>
      </c>
      <c r="AD10" s="156"/>
      <c r="AE10" s="157"/>
      <c r="AF10" s="160" t="s">
        <v>198</v>
      </c>
      <c r="AG10" s="156"/>
      <c r="AH10" s="157"/>
      <c r="AI10" s="160"/>
      <c r="AJ10" s="157"/>
      <c r="AK10" s="160"/>
      <c r="AL10" s="157"/>
      <c r="AM10" s="160"/>
      <c r="AN10" s="157"/>
      <c r="AO10" s="159"/>
      <c r="AP10" s="156"/>
      <c r="AQ10" s="156"/>
      <c r="AR10" s="156"/>
      <c r="AS10" s="157"/>
      <c r="AT10" s="159" t="s">
        <v>519</v>
      </c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7"/>
    </row>
    <row r="11" spans="1:57" customFormat="1" ht="21" customHeight="1">
      <c r="A11" s="1"/>
      <c r="B11" s="114">
        <f t="shared" si="0"/>
        <v>6</v>
      </c>
      <c r="C11" s="101"/>
      <c r="D11" s="102"/>
      <c r="E11" s="113" t="s">
        <v>1001</v>
      </c>
      <c r="F11" s="101"/>
      <c r="G11" s="101"/>
      <c r="H11" s="101"/>
      <c r="I11" s="101"/>
      <c r="J11" s="101"/>
      <c r="K11" s="101"/>
      <c r="L11" s="101"/>
      <c r="M11" s="102"/>
      <c r="N11" s="103" t="s">
        <v>1000</v>
      </c>
      <c r="O11" s="101"/>
      <c r="P11" s="101"/>
      <c r="Q11" s="101"/>
      <c r="R11" s="101"/>
      <c r="S11" s="101"/>
      <c r="T11" s="101"/>
      <c r="U11" s="101"/>
      <c r="V11" s="102"/>
      <c r="W11" s="113" t="s">
        <v>577</v>
      </c>
      <c r="X11" s="101"/>
      <c r="Y11" s="101"/>
      <c r="Z11" s="101"/>
      <c r="AA11" s="101"/>
      <c r="AB11" s="102"/>
      <c r="AC11" s="113"/>
      <c r="AD11" s="101"/>
      <c r="AE11" s="102"/>
      <c r="AF11" s="112"/>
      <c r="AG11" s="101"/>
      <c r="AH11" s="102"/>
      <c r="AI11" s="112"/>
      <c r="AJ11" s="102"/>
      <c r="AK11" s="112"/>
      <c r="AL11" s="102"/>
      <c r="AM11" s="112" t="s">
        <v>890</v>
      </c>
      <c r="AN11" s="102"/>
      <c r="AO11" s="113"/>
      <c r="AP11" s="101"/>
      <c r="AQ11" s="101"/>
      <c r="AR11" s="101"/>
      <c r="AS11" s="102"/>
      <c r="AT11" s="113" t="s">
        <v>857</v>
      </c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21" customHeight="1">
      <c r="A12" s="35"/>
      <c r="B12" s="161">
        <f t="shared" si="0"/>
        <v>7</v>
      </c>
      <c r="C12" s="156"/>
      <c r="D12" s="157"/>
      <c r="E12" s="159" t="s">
        <v>479</v>
      </c>
      <c r="F12" s="156"/>
      <c r="G12" s="156"/>
      <c r="H12" s="156"/>
      <c r="I12" s="156"/>
      <c r="J12" s="156"/>
      <c r="K12" s="156"/>
      <c r="L12" s="156"/>
      <c r="M12" s="157"/>
      <c r="N12" s="162" t="s">
        <v>878</v>
      </c>
      <c r="O12" s="163"/>
      <c r="P12" s="163"/>
      <c r="Q12" s="163"/>
      <c r="R12" s="163"/>
      <c r="S12" s="163"/>
      <c r="T12" s="163"/>
      <c r="U12" s="163"/>
      <c r="V12" s="164"/>
      <c r="W12" s="165" t="s">
        <v>596</v>
      </c>
      <c r="X12" s="163"/>
      <c r="Y12" s="163"/>
      <c r="Z12" s="163"/>
      <c r="AA12" s="163"/>
      <c r="AB12" s="164"/>
      <c r="AC12" s="159"/>
      <c r="AD12" s="156"/>
      <c r="AE12" s="157"/>
      <c r="AF12" s="160" t="s">
        <v>198</v>
      </c>
      <c r="AG12" s="156"/>
      <c r="AH12" s="157"/>
      <c r="AI12" s="160"/>
      <c r="AJ12" s="157"/>
      <c r="AK12" s="160"/>
      <c r="AL12" s="157"/>
      <c r="AM12" s="160"/>
      <c r="AN12" s="157"/>
      <c r="AO12" s="159" t="s">
        <v>480</v>
      </c>
      <c r="AP12" s="156"/>
      <c r="AQ12" s="156"/>
      <c r="AR12" s="156"/>
      <c r="AS12" s="157"/>
      <c r="AT12" s="158" t="s">
        <v>481</v>
      </c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7"/>
    </row>
    <row r="13" spans="1:57" ht="21" customHeight="1">
      <c r="A13" s="35"/>
      <c r="B13" s="161">
        <f t="shared" si="0"/>
        <v>8</v>
      </c>
      <c r="C13" s="156"/>
      <c r="D13" s="157"/>
      <c r="E13" s="159" t="s">
        <v>4</v>
      </c>
      <c r="F13" s="156"/>
      <c r="G13" s="156"/>
      <c r="H13" s="156"/>
      <c r="I13" s="156"/>
      <c r="J13" s="156"/>
      <c r="K13" s="156"/>
      <c r="L13" s="156"/>
      <c r="M13" s="157"/>
      <c r="N13" s="158" t="s">
        <v>238</v>
      </c>
      <c r="O13" s="156"/>
      <c r="P13" s="156"/>
      <c r="Q13" s="156"/>
      <c r="R13" s="156"/>
      <c r="S13" s="156"/>
      <c r="T13" s="156"/>
      <c r="U13" s="156"/>
      <c r="V13" s="157"/>
      <c r="W13" s="158" t="s">
        <v>578</v>
      </c>
      <c r="X13" s="156"/>
      <c r="Y13" s="156"/>
      <c r="Z13" s="156"/>
      <c r="AA13" s="156"/>
      <c r="AB13" s="157"/>
      <c r="AC13" s="158"/>
      <c r="AD13" s="156"/>
      <c r="AE13" s="157"/>
      <c r="AF13" s="160" t="s">
        <v>198</v>
      </c>
      <c r="AG13" s="156"/>
      <c r="AH13" s="157"/>
      <c r="AI13" s="160"/>
      <c r="AJ13" s="157"/>
      <c r="AK13" s="160"/>
      <c r="AL13" s="157"/>
      <c r="AM13" s="160"/>
      <c r="AN13" s="157"/>
      <c r="AO13" s="158" t="s">
        <v>205</v>
      </c>
      <c r="AP13" s="156"/>
      <c r="AQ13" s="156"/>
      <c r="AR13" s="156"/>
      <c r="AS13" s="157"/>
      <c r="AT13" s="155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7"/>
    </row>
    <row r="14" spans="1:57" ht="21" customHeight="1">
      <c r="A14" s="35"/>
      <c r="B14" s="161">
        <f t="shared" si="0"/>
        <v>9</v>
      </c>
      <c r="C14" s="156"/>
      <c r="D14" s="157"/>
      <c r="E14" s="159" t="s">
        <v>22</v>
      </c>
      <c r="F14" s="156"/>
      <c r="G14" s="156"/>
      <c r="H14" s="156"/>
      <c r="I14" s="156"/>
      <c r="J14" s="156"/>
      <c r="K14" s="156"/>
      <c r="L14" s="156"/>
      <c r="M14" s="157"/>
      <c r="N14" s="158" t="s">
        <v>204</v>
      </c>
      <c r="O14" s="156"/>
      <c r="P14" s="156"/>
      <c r="Q14" s="156"/>
      <c r="R14" s="156"/>
      <c r="S14" s="156"/>
      <c r="T14" s="156"/>
      <c r="U14" s="156"/>
      <c r="V14" s="157"/>
      <c r="W14" s="158" t="s">
        <v>578</v>
      </c>
      <c r="X14" s="156"/>
      <c r="Y14" s="156"/>
      <c r="Z14" s="156"/>
      <c r="AA14" s="156"/>
      <c r="AB14" s="157"/>
      <c r="AC14" s="158"/>
      <c r="AD14" s="156"/>
      <c r="AE14" s="157"/>
      <c r="AF14" s="160" t="s">
        <v>198</v>
      </c>
      <c r="AG14" s="156"/>
      <c r="AH14" s="157"/>
      <c r="AI14" s="160"/>
      <c r="AJ14" s="157"/>
      <c r="AK14" s="160"/>
      <c r="AL14" s="157"/>
      <c r="AM14" s="160"/>
      <c r="AN14" s="157"/>
      <c r="AO14" s="162" t="s">
        <v>395</v>
      </c>
      <c r="AP14" s="163"/>
      <c r="AQ14" s="163"/>
      <c r="AR14" s="163"/>
      <c r="AS14" s="164"/>
      <c r="AT14" s="155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7"/>
    </row>
    <row r="15" spans="1:57" ht="21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</row>
    <row r="16" spans="1:57" ht="21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ht="21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ht="21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ht="21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ht="21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ht="21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ht="21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ht="21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ht="21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ht="21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ht="2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ht="2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ht="2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ht="2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ht="2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ht="21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ht="21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ht="21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ht="21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ht="21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21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ht="2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ht="2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ht="2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ht="2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ht="2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ht="2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ht="2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ht="2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ht="2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ht="2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ht="2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ht="2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ht="2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 ht="2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ht="2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ht="21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</row>
    <row r="54" spans="1:57" ht="2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</row>
    <row r="55" spans="1:57" ht="2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 ht="2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 ht="2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</row>
    <row r="58" spans="1:57" ht="2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 ht="2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 ht="2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 ht="2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7" ht="2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 ht="2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 ht="2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ht="2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 ht="2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 ht="2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 ht="2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ht="2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ht="2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ht="2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ht="2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ht="2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ht="2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 ht="2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ht="2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ht="2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ht="2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ht="2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ht="2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 ht="2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ht="2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ht="2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ht="2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ht="2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ht="2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ht="2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ht="2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ht="2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 ht="2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ht="2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ht="2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ht="2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ht="2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 ht="2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ht="2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57" ht="2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ht="2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 ht="2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 ht="2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57" ht="2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 ht="2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 ht="2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 ht="2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57" ht="2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 ht="2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 ht="2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 ht="2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 ht="2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57" ht="2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57" ht="2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 ht="2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 ht="2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 ht="2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</row>
    <row r="115" spans="1:57" ht="2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 ht="2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 ht="2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 ht="2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 ht="2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</row>
    <row r="120" spans="1:57" ht="2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 ht="2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 ht="2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 ht="2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</row>
    <row r="124" spans="1:57" ht="2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 ht="2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 ht="2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  <row r="127" spans="1:57" ht="2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</row>
    <row r="128" spans="1:57" ht="21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</row>
    <row r="129" spans="1:57" ht="21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</row>
    <row r="130" spans="1:57" ht="21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</row>
    <row r="131" spans="1:57" ht="21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</row>
    <row r="132" spans="1:57" ht="21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</row>
    <row r="133" spans="1:57" ht="21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</row>
    <row r="134" spans="1:57" ht="21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</row>
    <row r="135" spans="1:57" ht="21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</row>
    <row r="136" spans="1:57" ht="21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</row>
    <row r="137" spans="1:57" ht="21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</row>
    <row r="138" spans="1:57" ht="21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</row>
    <row r="139" spans="1:57" ht="21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</row>
    <row r="140" spans="1:57" ht="21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</row>
    <row r="141" spans="1:57" ht="21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</row>
    <row r="142" spans="1:57" ht="21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</row>
    <row r="143" spans="1:57" ht="21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</row>
    <row r="144" spans="1:57" ht="21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</row>
    <row r="145" spans="1:57" ht="21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</row>
    <row r="146" spans="1:57" ht="21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</row>
    <row r="147" spans="1:57" ht="21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</row>
    <row r="148" spans="1:57" ht="21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</row>
    <row r="149" spans="1:57" ht="21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</row>
    <row r="150" spans="1:57" ht="21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</row>
    <row r="151" spans="1:57" ht="21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</row>
    <row r="152" spans="1:57" ht="21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</row>
    <row r="153" spans="1:57" ht="21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</row>
    <row r="154" spans="1:57" ht="21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</row>
    <row r="155" spans="1:57" ht="21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</row>
    <row r="156" spans="1:57" ht="21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</row>
    <row r="157" spans="1:57" ht="21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</row>
    <row r="158" spans="1:57" ht="21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</row>
    <row r="159" spans="1:57" ht="21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</row>
    <row r="160" spans="1:57" ht="21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</row>
    <row r="161" spans="1:57" ht="21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</row>
    <row r="162" spans="1:57" ht="21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</row>
    <row r="163" spans="1:57" ht="21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</row>
    <row r="164" spans="1:57" ht="21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</row>
    <row r="165" spans="1:57" ht="21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</row>
    <row r="166" spans="1:57" ht="21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</row>
    <row r="167" spans="1:57" ht="21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</row>
    <row r="168" spans="1:57" ht="21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</row>
    <row r="169" spans="1:57" ht="21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</row>
    <row r="170" spans="1:57" ht="21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</row>
    <row r="171" spans="1:57" ht="21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</row>
    <row r="172" spans="1:57" ht="21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</row>
    <row r="173" spans="1:57" ht="21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</row>
    <row r="174" spans="1:57" ht="21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</row>
    <row r="175" spans="1:57" ht="21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</row>
    <row r="176" spans="1:57" ht="21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</row>
    <row r="177" spans="1:57" ht="21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</row>
    <row r="178" spans="1:57" ht="21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</row>
    <row r="179" spans="1:57" ht="21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</row>
    <row r="180" spans="1:57" ht="21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</row>
    <row r="181" spans="1:57" ht="21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</row>
    <row r="182" spans="1:57" ht="21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</row>
    <row r="183" spans="1:57" ht="21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</row>
    <row r="184" spans="1:57" ht="21" customHeigh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</row>
    <row r="185" spans="1:57" ht="21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</row>
    <row r="186" spans="1:57" ht="21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</row>
    <row r="187" spans="1:57" ht="21" customHeigh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</row>
    <row r="188" spans="1:57" ht="21" customHeigh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</row>
    <row r="189" spans="1:57" ht="21" customHeigh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</row>
    <row r="190" spans="1:57" ht="21" customHeigh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</row>
    <row r="191" spans="1:57" ht="21" customHeigh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</row>
    <row r="192" spans="1:57" ht="21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</row>
    <row r="193" spans="1:57" ht="21" customHeigh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</row>
    <row r="194" spans="1:57" ht="21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</row>
    <row r="195" spans="1:57" ht="21" customHeigh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</row>
    <row r="196" spans="1:57" ht="21" customHeight="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</row>
    <row r="197" spans="1:57" ht="21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</row>
    <row r="198" spans="1:57" ht="21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</row>
    <row r="199" spans="1:57" ht="21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</row>
    <row r="200" spans="1:57" ht="21" customHeight="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</row>
    <row r="201" spans="1:57" ht="21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</row>
    <row r="202" spans="1:57" ht="21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</row>
    <row r="203" spans="1:57" ht="21" customHeigh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</row>
    <row r="204" spans="1:57" ht="21" customHeigh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</row>
    <row r="205" spans="1:57" ht="21" customHeigh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</row>
    <row r="206" spans="1:57" ht="21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</row>
    <row r="207" spans="1:57" ht="21" customHeigh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</row>
    <row r="208" spans="1:57" ht="21" customHeigh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</row>
    <row r="209" spans="1:57" ht="21" customHeigh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</row>
    <row r="210" spans="1:57" ht="21" customHeigh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</row>
    <row r="211" spans="1:57" ht="21" customHeigh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</row>
    <row r="212" spans="1:57" ht="21" customHeigh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</row>
    <row r="213" spans="1:57" ht="21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</row>
    <row r="214" spans="1:57" ht="21" customHeigh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</row>
    <row r="215" spans="1:57" ht="21" customHeigh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</row>
    <row r="216" spans="1:57" ht="21" customHeigh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</row>
    <row r="217" spans="1:57" ht="21" customHeigh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</row>
    <row r="218" spans="1:57" ht="21" customHeigh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</row>
    <row r="219" spans="1:57" ht="21" customHeigh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</row>
    <row r="220" spans="1:57" ht="21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</row>
    <row r="221" spans="1:57" ht="21" customHeigh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</row>
    <row r="222" spans="1:57" ht="15.75" customHeigh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</row>
    <row r="223" spans="1:57" ht="15.75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57" ht="15.75" customHeigh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1:57" ht="15.75" customHeigh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:57" ht="15.75" customHeigh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7" spans="1:57" ht="15.75" customHeigh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:57" ht="15.75" customHeigh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:57" ht="15.75" customHeigh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:57" ht="15.75" customHeigh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:57" ht="15.75" customHeigh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</row>
    <row r="232" spans="1:57" ht="15.75" customHeigh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:57" ht="15.75" customHeigh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</row>
    <row r="234" spans="1:57" ht="15.75" customHeigh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:57" ht="15.75" customHeigh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:57" ht="15.75" customHeigh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:57" ht="15.75" customHeigh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</row>
    <row r="238" spans="1:57" ht="15.75" customHeigh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</row>
    <row r="239" spans="1:57" ht="15.75" customHeigh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:57" ht="15.75" customHeight="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:57" ht="15.75" customHeigh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</row>
    <row r="242" spans="1:57" ht="15.75" customHeight="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:57" ht="15.75" customHeigh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:57" ht="15.75" customHeight="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:57" ht="15.75" customHeight="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:57" ht="15.75" customHeight="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</row>
    <row r="247" spans="1:57" ht="15.75" customHeigh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:57" ht="15.75" customHeight="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</row>
    <row r="249" spans="1:57" ht="15.75" customHeight="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:57" ht="15.75" customHeight="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:57" ht="15.75" customHeight="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:57" ht="15.75" customHeigh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:57" ht="15.75" customHeigh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</row>
    <row r="254" spans="1:57" ht="15.75" customHeigh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</row>
    <row r="255" spans="1:57" ht="15.75" customHeigh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:57" ht="15.75" customHeigh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:57" ht="15.75" customHeigh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15.75" customHeigh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15.75" customHeigh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15.75" customHeigh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15.75" customHeigh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15.75" customHeigh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15.75" customHeight="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15.75" customHeight="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15.75" customHeight="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15.75" customHeigh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15.75" customHeigh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15.75" customHeigh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15.75" customHeight="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15.75" customHeigh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15.75" customHeigh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15.75" customHeight="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ht="15.75" customHeight="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ht="15.75" customHeight="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ht="15.75" customHeight="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ht="15.75" customHeight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ht="15.75" customHeight="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ht="15.75" customHeight="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ht="15.75" customHeight="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ht="15.75" customHeigh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ht="15.75" customHeigh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ht="15.75" customHeight="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ht="15.75" customHeight="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ht="15.75" customHeight="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ht="15.75" customHeight="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ht="15.75" customHeight="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ht="15.75" customHeight="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ht="15.75" customHeigh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ht="15.75" customHeight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ht="15.75" customHeight="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15.75" customHeight="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ht="15.75" customHeight="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ht="15.75" customHeight="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ht="15.75" customHeight="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ht="15.75" customHeight="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ht="15.75" customHeight="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ht="15.75" customHeight="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ht="15.75" customHeight="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ht="15.75" customHeight="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ht="15.75" customHeight="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ht="15.75" customHeigh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ht="15.75" customHeight="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ht="15.75" customHeight="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ht="15.75" customHeight="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15.75" customHeigh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15.75" customHeigh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15.75" customHeigh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15.75" customHeigh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15.75" customHeigh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15.75" customHeigh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15.75" customHeigh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15.75" customHeight="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15.75" customHeight="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15.75" customHeight="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15.75" customHeight="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15.75" customHeight="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15.75" customHeight="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15.75" customHeight="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15.75" customHeight="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15.75" customHeigh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15.75" customHeigh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15.75" customHeight="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15.75" customHeight="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15.75" customHeigh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15.75" customHeigh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15.75" customHeight="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15.75" customHeight="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15.75" customHeigh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15.75" customHeigh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15.75" customHeigh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15.75" customHeigh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15.75" customHeigh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15.75" customHeigh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15.75" customHeight="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15.75" customHeight="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15.75" customHeigh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15.75" customHeigh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15.75" customHeigh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15.75" customHeigh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15.75" customHeigh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15.75" customHeigh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15.75" customHeigh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15.75" customHeigh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15.75" customHeigh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15.75" customHeigh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15.75" customHeigh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15.75" customHeigh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15.75" customHeigh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15.75" customHeigh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15.75" customHeigh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15.75" customHeigh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15.75" customHeigh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15.75" customHeigh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15.75" customHeigh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15.75" customHeigh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15.75" customHeigh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15.75" customHeigh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15.75" customHeigh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15.75" customHeigh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15.75" customHeigh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15.75" customHeigh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15.75" customHeigh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15.75" customHeigh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15.75" customHeigh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15.75" customHeigh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15.75" customHeigh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15.75" customHeigh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15.75" customHeigh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15.75" customHeigh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15.75" customHeigh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15.75" customHeigh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15.75" customHeigh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15.75" customHeigh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15.75" customHeigh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15.75" customHeigh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15.75" customHeigh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15.75" customHeigh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15.75" customHeigh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15.75" customHeigh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15.75" customHeigh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15.75" customHeigh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15.75" customHeigh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15.75" customHeigh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15.75" customHeigh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15.75" customHeigh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15.75" customHeigh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15.75" customHeigh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15.75" customHeigh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15.75" customHeigh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15.75" customHeigh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15.75" customHeigh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15.75" customHeigh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15.75" customHeigh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15.75" customHeigh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15.75" customHeigh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15.75" customHeigh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15.75" customHeigh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15.75" customHeigh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15.75" customHeigh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15.75" customHeigh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15.75" customHeigh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15.75" customHeigh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15.75" customHeigh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15.75" customHeigh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15.75" customHeigh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15.75" customHeigh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15.75" customHeigh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15.75" customHeigh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15.75" customHeigh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15.75" customHeigh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15.75" customHeigh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15.75" customHeigh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15.75" customHeigh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15.75" customHeigh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15.75" customHeigh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15.75" customHeigh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15.75" customHeigh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15.75" customHeigh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15.75" customHeigh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15.75" customHeigh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15.75" customHeigh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15.75" customHeigh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15.75" customHeigh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15.75" customHeigh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15.75" customHeigh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15.75" customHeigh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15.75" customHeigh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15.75" customHeigh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15.75" customHeigh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15.75" customHeigh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15.75" customHeigh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15.75" customHeigh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15.75" customHeigh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15.75" customHeigh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15.75" customHeigh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15.75" customHeigh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15.75" customHeigh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15.75" customHeigh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15.75" customHeigh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15.75" customHeigh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15.75" customHeigh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15.75" customHeigh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15.75" customHeigh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15.75" customHeigh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15.75" customHeigh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15.75" customHeigh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15.75" customHeigh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15.75" customHeigh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15.75" customHeigh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15.75" customHeigh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15.75" customHeigh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15.75" customHeigh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15.75" customHeigh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15.75" customHeigh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ht="15.75" customHeigh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15.75" customHeigh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15.75" customHeigh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15.75" customHeigh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15.75" customHeigh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15.75" customHeigh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15.75" customHeigh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ht="15.75" customHeigh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15.75" customHeigh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15.75" customHeigh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15.75" customHeigh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15.75" customHeigh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15.75" customHeigh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15.75" customHeigh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15.75" customHeigh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15.75" customHeigh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15.75" customHeigh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15.75" customHeigh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ht="15.75" customHeigh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15.75" customHeigh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15.75" customHeigh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15.75" customHeigh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15.75" customHeigh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15.75" customHeigh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15.75" customHeigh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ht="15.75" customHeigh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15.75" customHeigh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15.75" customHeigh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15.75" customHeigh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15.75" customHeigh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15.75" customHeigh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15.75" customHeigh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15.75" customHeigh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15.75" customHeigh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15.75" customHeigh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15.75" customHeigh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15.75" customHeigh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15.75" customHeigh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15.75" customHeigh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15.75" customHeigh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ht="15.75" customHeigh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15.75" customHeigh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15.75" customHeigh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15.75" customHeigh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ht="15.75" customHeigh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15.75" customHeigh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15.75" customHeigh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15.75" customHeigh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ht="15.75" customHeigh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15.75" customHeigh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15.75" customHeigh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ht="15.75" customHeigh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15.75" customHeigh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15.75" customHeigh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15.75" customHeigh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15.75" customHeigh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15.75" customHeigh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15.75" customHeigh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ht="15.75" customHeigh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15.75" customHeigh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15.75" customHeigh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15.75" customHeigh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15.75" customHeigh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15.75" customHeigh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15.75" customHeigh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ht="15.75" customHeigh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ht="15.75" customHeigh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15.75" customHeigh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15.75" customHeigh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15.75" customHeigh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15.75" customHeigh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15.75" customHeigh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15.75" customHeigh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15.75" customHeigh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ht="15.75" customHeigh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15.75" customHeigh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15.75" customHeigh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15.75" customHeigh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15.75" customHeigh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15.75" customHeigh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15.75" customHeigh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15.75" customHeigh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15.75" customHeigh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ht="15.75" customHeigh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15.75" customHeigh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15.75" customHeigh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15.75" customHeigh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15.75" customHeigh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15.75" customHeigh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15.75" customHeigh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15.75" customHeigh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15.75" customHeigh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ht="15.75" customHeigh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ht="15.75" customHeigh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15.75" customHeigh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15.75" customHeigh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15.75" customHeigh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15.75" customHeigh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15.75" customHeigh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15.75" customHeigh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15.75" customHeigh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15.75" customHeigh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15.75" customHeigh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15.75" customHeigh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15.75" customHeigh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15.75" customHeigh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15.75" customHeigh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15.75" customHeigh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15.75" customHeigh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15.75" customHeigh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15.75" customHeigh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ht="15.75" customHeigh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15.75" customHeigh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15.75" customHeigh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15.75" customHeigh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15.75" customHeigh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15.75" customHeigh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15.75" customHeigh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15.75" customHeigh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15.75" customHeigh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15.75" customHeigh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15.75" customHeigh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15.75" customHeigh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15.75" customHeigh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15.75" customHeigh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15.75" customHeigh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15.75" customHeigh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15.75" customHeigh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15.75" customHeigh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15.75" customHeigh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15.75" customHeigh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15.75" customHeigh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15.75" customHeigh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15.75" customHeigh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15.75" customHeigh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15.75" customHeigh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15.75" customHeigh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15.75" customHeigh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15.75" customHeigh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15.75" customHeigh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15.75" customHeigh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15.75" customHeigh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15.75" customHeigh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15.75" customHeigh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15.75" customHeigh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15.75" customHeigh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15.75" customHeigh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15.75" customHeigh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15.75" customHeigh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15.75" customHeigh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15.75" customHeigh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15.75" customHeigh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15.75" customHeigh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15.75" customHeigh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15.75" customHeigh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15.75" customHeigh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15.75" customHeigh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15.75" customHeigh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15.75" customHeigh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15.75" customHeigh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15.75" customHeigh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15.75" customHeigh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15.75" customHeigh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15.75" customHeigh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15.75" customHeigh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15.75" customHeigh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15.75" customHeigh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15.75" customHeigh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15.75" customHeigh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15.75" customHeigh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15.75" customHeigh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15.75" customHeigh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15.75" customHeigh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15.75" customHeigh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15.75" customHeigh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15.75" customHeigh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15.75" customHeigh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15.75" customHeigh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15.75" customHeigh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15.75" customHeigh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15.75" customHeigh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15.75" customHeigh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15.75" customHeigh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15.75" customHeigh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15.75" customHeight="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15.75" customHeigh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15.75" customHeight="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15.75" customHeight="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15.75" customHeight="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15.75" customHeight="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15.75" customHeight="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15.75" customHeight="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15.75" customHeight="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15.75" customHeight="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15.75" customHeight="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15.75" customHeight="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15.75" customHeight="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15.75" customHeight="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15.75" customHeight="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15.75" customHeight="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15.75" customHeight="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15.75" customHeight="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15.75" customHeight="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15.75" customHeight="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15.75" customHeight="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15.75" customHeigh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15.75" customHeight="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15.75" customHeight="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15.75" customHeight="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15.75" customHeight="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15.75" customHeight="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15.75" customHeight="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15.75" customHeight="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15.75" customHeight="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15.75" customHeight="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15.75" customHeight="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15.75" customHeight="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15.75" customHeight="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15.75" customHeight="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15.75" customHeight="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15.75" customHeight="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15.75" customHeight="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15.75" customHeight="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15.75" customHeight="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15.75" customHeight="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15.75" customHeight="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15.75" customHeight="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15.75" customHeight="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15.75" customHeight="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15.75" customHeight="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15.75" customHeight="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15.75" customHeight="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15.75" customHeight="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15.75" customHeight="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15.75" customHeight="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15.75" customHeight="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15.75" customHeight="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15.75" customHeight="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15.75" customHeight="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15.75" customHeight="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15.75" customHeight="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15.75" customHeight="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15.75" customHeight="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15.75" customHeight="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15.75" customHeight="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15.75" customHeight="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15.75" customHeight="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15.75" customHeight="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15.75" customHeight="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15.75" customHeight="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15.75" customHeigh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15.75" customHeight="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15.75" customHeight="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15.75" customHeight="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15.75" customHeight="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15.75" customHeight="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15.75" customHeight="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15.75" customHeight="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15.75" customHeight="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15.75" customHeight="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15.75" customHeight="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15.75" customHeight="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15.75" customHeight="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15.75" customHeight="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15.75" customHeight="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15.75" customHeight="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15.75" customHeight="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15.75" customHeight="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15.75" customHeight="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15.75" customHeight="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15.75" customHeight="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15.75" customHeight="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15.75" customHeight="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15.75" customHeight="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15.75" customHeight="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15.75" customHeight="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15.75" customHeight="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15.75" customHeight="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15.75" customHeight="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15.75" customHeight="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15.75" customHeight="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15.75" customHeight="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15.75" customHeight="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</row>
    <row r="738" spans="1:57" ht="15.75" customHeight="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15.75" customHeight="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15.75" customHeight="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15.75" customHeight="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</row>
    <row r="742" spans="1:57" ht="15.75" customHeight="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</row>
    <row r="743" spans="1:57" ht="15.75" customHeight="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</row>
    <row r="744" spans="1:57" ht="15.75" customHeight="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</row>
    <row r="745" spans="1:57" ht="15.75" customHeight="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</row>
    <row r="746" spans="1:57" ht="15.75" customHeight="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</row>
    <row r="747" spans="1:57" ht="15.75" customHeight="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</row>
    <row r="748" spans="1:57" ht="15.75" customHeight="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</row>
    <row r="749" spans="1:57" ht="15.75" customHeight="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</row>
    <row r="750" spans="1:57" ht="15.75" customHeigh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</row>
    <row r="751" spans="1:57" ht="15.75" customHeight="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</row>
    <row r="752" spans="1:57" ht="15.75" customHeight="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</row>
    <row r="753" spans="1:57" ht="15.75" customHeight="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</row>
    <row r="754" spans="1:57" ht="15.75" customHeight="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</row>
    <row r="755" spans="1:57" ht="15.75" customHeight="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</row>
    <row r="756" spans="1:57" ht="15.75" customHeight="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</row>
    <row r="757" spans="1:57" ht="15.75" customHeight="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</row>
    <row r="758" spans="1:57" ht="15.75" customHeight="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</row>
    <row r="759" spans="1:57" ht="15.75" customHeight="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</row>
    <row r="760" spans="1:57" ht="15.75" customHeight="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</row>
    <row r="761" spans="1:57" ht="15.75" customHeight="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</row>
    <row r="762" spans="1:57" ht="15.75" customHeight="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</row>
    <row r="763" spans="1:57" ht="15.75" customHeight="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</row>
    <row r="764" spans="1:57" ht="15.75" customHeight="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</row>
    <row r="765" spans="1:57" ht="15.75" customHeight="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</row>
    <row r="766" spans="1:57" ht="15.75" customHeight="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</row>
    <row r="767" spans="1:57" ht="15.75" customHeight="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</row>
    <row r="768" spans="1:57" ht="15.75" customHeight="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</row>
    <row r="769" spans="1:57" ht="15.75" customHeight="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</row>
    <row r="770" spans="1:57" ht="15.75" customHeight="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</row>
    <row r="771" spans="1:57" ht="15.75" customHeight="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</row>
    <row r="772" spans="1:57" ht="15.75" customHeight="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</row>
    <row r="773" spans="1:57" ht="15.75" customHeight="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</row>
    <row r="774" spans="1:57" ht="15.75" customHeight="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</row>
    <row r="775" spans="1:57" ht="15.75" customHeight="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</row>
    <row r="776" spans="1:57" ht="15.75" customHeight="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</row>
    <row r="777" spans="1:57" ht="15.75" customHeight="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</row>
    <row r="778" spans="1:57" ht="15.75" customHeight="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</row>
    <row r="779" spans="1:57" ht="15.75" customHeight="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</row>
    <row r="780" spans="1:57" ht="15.75" customHeight="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</row>
    <row r="781" spans="1:57" ht="15.75" customHeight="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</row>
    <row r="782" spans="1:57" ht="15.75" customHeight="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</row>
    <row r="783" spans="1:57" ht="15.75" customHeight="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</row>
    <row r="784" spans="1:57" ht="15.75" customHeight="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</row>
    <row r="785" spans="1:57" ht="15.75" customHeight="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</row>
    <row r="786" spans="1:57" ht="15.75" customHeight="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</row>
    <row r="787" spans="1:57" ht="15.75" customHeight="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</row>
    <row r="788" spans="1:57" ht="15.75" customHeight="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</row>
    <row r="789" spans="1:57" ht="15.75" customHeight="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</row>
    <row r="790" spans="1:57" ht="15.75" customHeight="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</row>
    <row r="791" spans="1:57" ht="15.75" customHeight="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</row>
    <row r="792" spans="1:57" ht="15.75" customHeight="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</row>
    <row r="793" spans="1:57" ht="15.75" customHeight="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</row>
    <row r="794" spans="1:57" ht="15.75" customHeight="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</row>
    <row r="795" spans="1:57" ht="15.75" customHeight="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</row>
    <row r="796" spans="1:57" ht="15.75" customHeight="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</row>
    <row r="797" spans="1:57" ht="15.75" customHeight="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</row>
    <row r="798" spans="1:57" ht="15.75" customHeight="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</row>
    <row r="799" spans="1:57" ht="15.75" customHeight="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</row>
    <row r="800" spans="1:57" ht="15.75" customHeight="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</row>
    <row r="801" spans="1:57" ht="15.75" customHeight="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</row>
    <row r="802" spans="1:57" ht="15.75" customHeight="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</row>
    <row r="803" spans="1:57" ht="15.75" customHeight="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</row>
    <row r="804" spans="1:57" ht="15.75" customHeight="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</row>
    <row r="805" spans="1:57" ht="15.75" customHeight="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</row>
    <row r="806" spans="1:57" ht="15.75" customHeight="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</row>
    <row r="807" spans="1:57" ht="15.75" customHeight="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</row>
    <row r="808" spans="1:57" ht="15.75" customHeight="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</row>
    <row r="809" spans="1:57" ht="15.75" customHeight="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</row>
    <row r="810" spans="1:57" ht="15.75" customHeight="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</row>
    <row r="811" spans="1:57" ht="15.75" customHeight="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</row>
    <row r="812" spans="1:57" ht="15.75" customHeight="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</row>
    <row r="813" spans="1:57" ht="15.75" customHeight="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</row>
    <row r="814" spans="1:57" ht="15.75" customHeight="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</row>
    <row r="815" spans="1:57" ht="15.75" customHeight="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</row>
    <row r="816" spans="1:57" ht="15.75" customHeight="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</row>
    <row r="817" spans="1:57" ht="15.75" customHeight="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</row>
    <row r="818" spans="1:57" ht="15.75" customHeight="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</row>
    <row r="819" spans="1:57" ht="15.75" customHeight="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</row>
    <row r="820" spans="1:57" ht="15.75" customHeight="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</row>
    <row r="821" spans="1:57" ht="15.75" customHeight="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</row>
    <row r="822" spans="1:57" ht="15.75" customHeight="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</row>
    <row r="823" spans="1:57" ht="15.75" customHeight="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</row>
    <row r="824" spans="1:57" ht="15.75" customHeight="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</row>
    <row r="825" spans="1:57" ht="15.75" customHeight="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15.75" customHeight="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15.75" customHeight="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15.75" customHeight="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15.75" customHeight="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15.75" customHeight="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15.75" customHeight="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15.75" customHeight="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15.75" customHeight="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15.75" customHeight="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</row>
    <row r="835" spans="1:57" ht="15.75" customHeight="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15.75" customHeight="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15.75" customHeight="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15.75" customHeight="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15.75" customHeight="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15.75" customHeight="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15.75" customHeight="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15.75" customHeight="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15.75" customHeight="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15.75" customHeight="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15.75" customHeight="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15.75" customHeight="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15.75" customHeight="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15.75" customHeight="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15.75" customHeight="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15.75" customHeight="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15.75" customHeight="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15.75" customHeight="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15.75" customHeight="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15.75" customHeight="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15.75" customHeight="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15.75" customHeight="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15.75" customHeight="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15.75" customHeight="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15.75" customHeight="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15.75" customHeight="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15.75" customHeight="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15.75" customHeight="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  <row r="863" spans="1:57" ht="15.75" customHeight="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</row>
    <row r="864" spans="1:57" ht="15.75" customHeight="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</row>
    <row r="865" spans="1:57" ht="15.75" customHeight="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</row>
    <row r="866" spans="1:57" ht="15.75" customHeight="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</row>
    <row r="867" spans="1:57" ht="15.75" customHeight="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</row>
    <row r="868" spans="1:57" ht="15.75" customHeight="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</row>
    <row r="869" spans="1:57" ht="15.75" customHeight="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</row>
    <row r="870" spans="1:57" ht="15.75" customHeight="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</row>
    <row r="871" spans="1:57" ht="15.75" customHeight="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</row>
    <row r="872" spans="1:57" ht="15.75" customHeight="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</row>
    <row r="873" spans="1:57" ht="15.75" customHeight="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</row>
    <row r="874" spans="1:57" ht="15.75" customHeight="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</row>
    <row r="875" spans="1:57" ht="15.75" customHeight="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</row>
    <row r="876" spans="1:57" ht="15.75" customHeight="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</row>
    <row r="877" spans="1:57" ht="15.75" customHeight="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</row>
    <row r="878" spans="1:57" ht="15.75" customHeight="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</row>
    <row r="879" spans="1:57" ht="15.75" customHeight="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</row>
    <row r="880" spans="1:57" ht="15.75" customHeight="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</row>
    <row r="881" spans="1:57" ht="15.75" customHeight="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</row>
    <row r="882" spans="1:57" ht="15.75" customHeight="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</row>
    <row r="883" spans="1:57" ht="15.75" customHeight="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</row>
    <row r="884" spans="1:57" ht="15.75" customHeight="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</row>
    <row r="885" spans="1:57" ht="15.75" customHeight="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</row>
    <row r="886" spans="1:57" ht="15.75" customHeight="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</row>
    <row r="887" spans="1:57" ht="15.75" customHeight="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</row>
    <row r="888" spans="1:57" ht="15.75" customHeight="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</row>
    <row r="889" spans="1:57" ht="15.75" customHeight="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</row>
    <row r="890" spans="1:57" ht="15.75" customHeight="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</row>
    <row r="891" spans="1:57" ht="15.75" customHeight="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</row>
    <row r="892" spans="1:57" ht="15.75" customHeight="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</row>
    <row r="893" spans="1:57" ht="15.75" customHeight="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</row>
    <row r="894" spans="1:57" ht="15.75" customHeight="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</row>
    <row r="895" spans="1:57" ht="15.75" customHeight="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</row>
    <row r="896" spans="1:57" ht="15.75" customHeight="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</row>
    <row r="897" spans="1:57" ht="15.75" customHeight="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</row>
    <row r="898" spans="1:57" ht="15.75" customHeight="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</row>
    <row r="899" spans="1:57" ht="15.75" customHeight="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</row>
    <row r="900" spans="1:57" ht="15.75" customHeight="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</row>
    <row r="901" spans="1:57" ht="15.75" customHeight="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</row>
    <row r="902" spans="1:57" ht="15.75" customHeigh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</row>
    <row r="903" spans="1:57" ht="15.75" customHeight="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</row>
    <row r="904" spans="1:57" ht="15.75" customHeight="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</row>
    <row r="905" spans="1:57" ht="15.75" customHeight="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</row>
    <row r="906" spans="1:57" ht="15.75" customHeight="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</row>
    <row r="907" spans="1:57" ht="15.75" customHeight="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</row>
    <row r="908" spans="1:57" ht="15.75" customHeight="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</row>
    <row r="909" spans="1:57" ht="15.75" customHeight="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</row>
    <row r="910" spans="1:57" ht="15.75" customHeight="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</row>
    <row r="911" spans="1:57" ht="15.75" customHeight="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</row>
    <row r="912" spans="1:57" ht="15.75" customHeight="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</row>
    <row r="913" spans="1:57" ht="15.75" customHeight="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</row>
    <row r="914" spans="1:57" ht="15.75" customHeight="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</row>
    <row r="915" spans="1:57" ht="15.75" customHeight="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</row>
    <row r="916" spans="1:57" ht="15.75" customHeight="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</row>
    <row r="917" spans="1:57" ht="15.75" customHeigh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</row>
    <row r="918" spans="1:57" ht="15.75" customHeigh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</row>
    <row r="919" spans="1:57" ht="15.75" customHeigh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</row>
    <row r="920" spans="1:57" ht="15.75" customHeight="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</row>
    <row r="921" spans="1:57" ht="15.75" customHeight="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</row>
    <row r="922" spans="1:57" ht="15.75" customHeight="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</row>
    <row r="923" spans="1:57" ht="15.75" customHeight="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</row>
    <row r="924" spans="1:57" ht="15.75" customHeigh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</row>
    <row r="925" spans="1:57" ht="15.75" customHeight="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</row>
    <row r="926" spans="1:57" ht="15.75" customHeigh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</row>
    <row r="927" spans="1:57" ht="15.75" customHeight="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</row>
    <row r="928" spans="1:57" ht="15.75" customHeight="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</row>
    <row r="929" spans="1:57" ht="15.75" customHeight="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</row>
    <row r="930" spans="1:57" ht="15.75" customHeigh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</row>
    <row r="931" spans="1:57" ht="15.75" customHeight="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</row>
    <row r="932" spans="1:57" ht="15.75" customHeight="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</row>
    <row r="933" spans="1:57" ht="15.75" customHeight="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</row>
    <row r="934" spans="1:57" ht="15.75" customHeight="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</row>
    <row r="935" spans="1:57" ht="15.75" customHeight="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</row>
    <row r="936" spans="1:57" ht="15.75" customHeight="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</row>
    <row r="937" spans="1:57" ht="15.75" customHeight="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</row>
    <row r="938" spans="1:57" ht="15.75" customHeight="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</row>
    <row r="939" spans="1:57" ht="15.75" customHeight="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</row>
    <row r="940" spans="1:57" ht="15.75" customHeight="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</row>
    <row r="941" spans="1:57" ht="15.75" customHeight="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</row>
    <row r="942" spans="1:57" ht="15.75" customHeight="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</row>
    <row r="943" spans="1:57" ht="15.75" customHeight="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</row>
    <row r="944" spans="1:57" ht="15.75" customHeight="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</row>
    <row r="945" spans="1:57" ht="15.75" customHeight="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</row>
    <row r="946" spans="1:57" ht="15.75" customHeight="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</row>
    <row r="947" spans="1:57" ht="15.75" customHeight="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</row>
    <row r="948" spans="1:57" ht="15.75" customHeight="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</row>
    <row r="949" spans="1:57" ht="15.75" customHeight="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</row>
    <row r="950" spans="1:57" ht="15.75" customHeight="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</row>
    <row r="951" spans="1:57" ht="15.75" customHeight="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</row>
    <row r="952" spans="1:57" ht="15.75" customHeight="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</row>
    <row r="953" spans="1:57" ht="15.75" customHeight="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</row>
    <row r="954" spans="1:57" ht="15.75" customHeight="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</row>
    <row r="955" spans="1:57" ht="15.75" customHeight="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</row>
    <row r="956" spans="1:57" ht="15.75" customHeight="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</row>
    <row r="957" spans="1:57" ht="15.75" customHeight="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</row>
    <row r="958" spans="1:57" ht="15.75" customHeight="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</row>
    <row r="959" spans="1:57" ht="15.75" customHeight="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</row>
    <row r="960" spans="1:57" ht="15.75" customHeight="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</row>
    <row r="961" spans="1:57" ht="15.75" customHeight="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</row>
    <row r="962" spans="1:57" ht="15.75" customHeight="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</row>
    <row r="963" spans="1:57" ht="15.75" customHeight="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</row>
    <row r="964" spans="1:57" ht="15.75" customHeight="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</row>
    <row r="965" spans="1:57" ht="15.75" customHeight="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</row>
    <row r="966" spans="1:57" ht="15.75" customHeight="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</row>
    <row r="967" spans="1:57" ht="15.75" customHeight="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</row>
    <row r="968" spans="1:57" ht="15.75" customHeight="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</row>
    <row r="969" spans="1:57" ht="15.75" customHeight="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</row>
    <row r="970" spans="1:57" ht="15.75" customHeight="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</row>
    <row r="971" spans="1:57" ht="15.75" customHeight="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</row>
    <row r="972" spans="1:57" ht="15.75" customHeight="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</row>
    <row r="973" spans="1:57" ht="15.75" customHeight="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</row>
    <row r="974" spans="1:57" ht="15.75" customHeight="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</row>
    <row r="975" spans="1:57" ht="15.75" customHeight="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</row>
    <row r="976" spans="1:57" ht="15.75" customHeight="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</row>
    <row r="977" spans="1:57" ht="15.75" customHeight="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</row>
    <row r="978" spans="1:57" ht="15.75" customHeight="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</row>
    <row r="979" spans="1:57" ht="15.75" customHeight="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</row>
    <row r="980" spans="1:57" ht="15.75" customHeight="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</row>
    <row r="981" spans="1:57" ht="15.75" customHeight="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</row>
    <row r="982" spans="1:57" ht="15.75" customHeight="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</row>
    <row r="983" spans="1:57" ht="15.75" customHeight="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</row>
    <row r="984" spans="1:57" ht="15.75" customHeight="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</row>
    <row r="985" spans="1:57" ht="15.75" customHeight="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</row>
    <row r="986" spans="1:57" ht="15.75" customHeight="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</row>
    <row r="987" spans="1:57" ht="15.75" customHeight="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</row>
    <row r="988" spans="1:57" ht="15.75" customHeight="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</row>
    <row r="989" spans="1:57" ht="15.75" customHeight="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</row>
    <row r="990" spans="1:57" ht="15.75" customHeight="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</row>
    <row r="991" spans="1:57" ht="15.75" customHeight="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</row>
    <row r="992" spans="1:57" ht="15.75" customHeight="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</row>
    <row r="993" spans="1:57" ht="15.75" customHeight="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</row>
    <row r="994" spans="1:57" ht="15.75" customHeight="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</row>
    <row r="995" spans="1:57" ht="15.75" customHeight="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</row>
    <row r="996" spans="1:57" ht="15.75" customHeight="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</row>
    <row r="997" spans="1:57" ht="15.75" customHeight="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</row>
    <row r="998" spans="1:57" ht="15.75" customHeight="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</row>
    <row r="999" spans="1:57" ht="15.75" customHeight="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</row>
    <row r="1000" spans="1:57" ht="15.75" customHeight="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</row>
    <row r="1001" spans="1:57" ht="15.75" customHeight="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</row>
  </sheetData>
  <mergeCells count="110">
    <mergeCell ref="AT6:BE6"/>
    <mergeCell ref="AI5:AJ5"/>
    <mergeCell ref="AK5:AL5"/>
    <mergeCell ref="AM5:AN5"/>
    <mergeCell ref="AO5:AS5"/>
    <mergeCell ref="AT5:BE5"/>
    <mergeCell ref="AO6:AS6"/>
    <mergeCell ref="B6:D6"/>
    <mergeCell ref="E6:M6"/>
    <mergeCell ref="N6:V6"/>
    <mergeCell ref="W6:AB6"/>
    <mergeCell ref="AC6:AE6"/>
    <mergeCell ref="AF5:AH5"/>
    <mergeCell ref="B5:D5"/>
    <mergeCell ref="E5:M5"/>
    <mergeCell ref="N5:V5"/>
    <mergeCell ref="W5:AB5"/>
    <mergeCell ref="AC5:AE5"/>
    <mergeCell ref="AF6:AH6"/>
    <mergeCell ref="AI6:AJ6"/>
    <mergeCell ref="AK6:AL6"/>
    <mergeCell ref="AM6:AN6"/>
    <mergeCell ref="AT8:BE8"/>
    <mergeCell ref="AI7:AJ7"/>
    <mergeCell ref="AK7:AL7"/>
    <mergeCell ref="AM7:AN7"/>
    <mergeCell ref="AO7:AS7"/>
    <mergeCell ref="AT7:BE7"/>
    <mergeCell ref="AO8:AS8"/>
    <mergeCell ref="B8:D8"/>
    <mergeCell ref="E8:M8"/>
    <mergeCell ref="N8:V8"/>
    <mergeCell ref="W8:AB8"/>
    <mergeCell ref="AC8:AE8"/>
    <mergeCell ref="AF7:AH7"/>
    <mergeCell ref="AF8:AH8"/>
    <mergeCell ref="AI8:AJ8"/>
    <mergeCell ref="AK8:AL8"/>
    <mergeCell ref="AM8:AN8"/>
    <mergeCell ref="AF10:AH10"/>
    <mergeCell ref="AI10:AJ10"/>
    <mergeCell ref="AK10:AL10"/>
    <mergeCell ref="AM10:AN10"/>
    <mergeCell ref="B7:D7"/>
    <mergeCell ref="E7:M7"/>
    <mergeCell ref="N7:V7"/>
    <mergeCell ref="W7:AB7"/>
    <mergeCell ref="AC7:AE7"/>
    <mergeCell ref="AO14:AS14"/>
    <mergeCell ref="AT14:BE14"/>
    <mergeCell ref="AM13:AN13"/>
    <mergeCell ref="AM14:AN14"/>
    <mergeCell ref="AO11:AS11"/>
    <mergeCell ref="AT11:BE11"/>
    <mergeCell ref="B9:D9"/>
    <mergeCell ref="E9:M9"/>
    <mergeCell ref="N9:V9"/>
    <mergeCell ref="W9:AB9"/>
    <mergeCell ref="AC9:AE9"/>
    <mergeCell ref="AT10:BE10"/>
    <mergeCell ref="AI9:AJ9"/>
    <mergeCell ref="AK9:AL9"/>
    <mergeCell ref="AM9:AN9"/>
    <mergeCell ref="AO9:AS9"/>
    <mergeCell ref="AT9:BE9"/>
    <mergeCell ref="AO10:AS10"/>
    <mergeCell ref="B10:D10"/>
    <mergeCell ref="E10:M10"/>
    <mergeCell ref="N10:V10"/>
    <mergeCell ref="W10:AB10"/>
    <mergeCell ref="AC10:AE10"/>
    <mergeCell ref="AF9:AH9"/>
    <mergeCell ref="B14:D14"/>
    <mergeCell ref="E14:M14"/>
    <mergeCell ref="N14:V14"/>
    <mergeCell ref="W14:AB14"/>
    <mergeCell ref="AC14:AE14"/>
    <mergeCell ref="AF14:AH14"/>
    <mergeCell ref="AF13:AH13"/>
    <mergeCell ref="AI13:AJ13"/>
    <mergeCell ref="AK13:AL13"/>
    <mergeCell ref="AI14:AJ14"/>
    <mergeCell ref="AK14:AL14"/>
    <mergeCell ref="B13:D13"/>
    <mergeCell ref="E13:M13"/>
    <mergeCell ref="N13:V13"/>
    <mergeCell ref="W13:AB13"/>
    <mergeCell ref="AC13:AE13"/>
    <mergeCell ref="B11:D11"/>
    <mergeCell ref="E11:M11"/>
    <mergeCell ref="N11:V11"/>
    <mergeCell ref="W11:AB11"/>
    <mergeCell ref="AC11:AE11"/>
    <mergeCell ref="AT13:BE13"/>
    <mergeCell ref="AO13:AS13"/>
    <mergeCell ref="AO12:AS12"/>
    <mergeCell ref="AT12:BE12"/>
    <mergeCell ref="AF12:AH12"/>
    <mergeCell ref="B12:D12"/>
    <mergeCell ref="E12:M12"/>
    <mergeCell ref="N12:V12"/>
    <mergeCell ref="W12:AB12"/>
    <mergeCell ref="AC12:AE12"/>
    <mergeCell ref="AI12:AJ12"/>
    <mergeCell ref="AK12:AL12"/>
    <mergeCell ref="AM12:AN12"/>
    <mergeCell ref="AF11:AH11"/>
    <mergeCell ref="AI11:AJ11"/>
    <mergeCell ref="AK11:AL11"/>
    <mergeCell ref="AM11:AN11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4164-6C80-4724-9623-BDC754A42C73}">
  <sheetPr>
    <tabColor rgb="FFFFFF00"/>
    <pageSetUpPr fitToPage="1"/>
  </sheetPr>
  <dimension ref="A1:BE1000"/>
  <sheetViews>
    <sheetView showGridLines="0" zoomScaleNormal="100" workbookViewId="0"/>
  </sheetViews>
  <sheetFormatPr defaultColWidth="14.42578125" defaultRowHeight="15" customHeight="1"/>
  <cols>
    <col min="1" max="58" width="3.140625" style="34" customWidth="1"/>
    <col min="59" max="16384" width="14.42578125" style="34"/>
  </cols>
  <sheetData>
    <row r="1" spans="1:57" ht="21" customHeight="1">
      <c r="A1" s="42"/>
      <c r="B1" s="41" t="s">
        <v>0</v>
      </c>
      <c r="C1" s="40"/>
      <c r="D1" s="40"/>
      <c r="E1" s="40"/>
      <c r="F1" s="39"/>
      <c r="G1" s="38" t="s">
        <v>1</v>
      </c>
      <c r="H1" s="37"/>
      <c r="I1" s="37"/>
      <c r="J1" s="37"/>
      <c r="K1" s="37"/>
      <c r="L1" s="37"/>
      <c r="M1" s="37"/>
      <c r="N1" s="37"/>
      <c r="O1" s="36"/>
      <c r="P1" s="41" t="s">
        <v>115</v>
      </c>
      <c r="Q1" s="40"/>
      <c r="R1" s="40"/>
      <c r="S1" s="40"/>
      <c r="T1" s="39"/>
      <c r="U1" s="38" t="s">
        <v>1058</v>
      </c>
      <c r="V1" s="37"/>
      <c r="W1" s="37"/>
      <c r="X1" s="37"/>
      <c r="Y1" s="37"/>
      <c r="Z1" s="37"/>
      <c r="AA1" s="37"/>
      <c r="AB1" s="37"/>
      <c r="AC1" s="36"/>
      <c r="AD1" s="41" t="s">
        <v>4</v>
      </c>
      <c r="AE1" s="40"/>
      <c r="AF1" s="40"/>
      <c r="AG1" s="40"/>
      <c r="AH1" s="39"/>
      <c r="AI1" s="38" t="s">
        <v>1059</v>
      </c>
      <c r="AJ1" s="37"/>
      <c r="AK1" s="37"/>
      <c r="AL1" s="37"/>
      <c r="AM1" s="37"/>
      <c r="AN1" s="37"/>
      <c r="AO1" s="37"/>
      <c r="AP1" s="37"/>
      <c r="AQ1" s="36"/>
      <c r="AR1" s="41" t="s">
        <v>6</v>
      </c>
      <c r="AS1" s="40"/>
      <c r="AT1" s="40"/>
      <c r="AU1" s="40"/>
      <c r="AV1" s="39"/>
      <c r="AW1" s="38" t="s">
        <v>1052</v>
      </c>
      <c r="AX1" s="37"/>
      <c r="AY1" s="37"/>
      <c r="AZ1" s="37"/>
      <c r="BA1" s="37"/>
      <c r="BB1" s="37"/>
      <c r="BC1" s="37"/>
      <c r="BD1" s="37"/>
      <c r="BE1" s="36"/>
    </row>
    <row r="2" spans="1:57" ht="21" customHeight="1">
      <c r="A2" s="35"/>
      <c r="B2" s="41" t="s">
        <v>8</v>
      </c>
      <c r="C2" s="40"/>
      <c r="D2" s="40"/>
      <c r="E2" s="40"/>
      <c r="F2" s="39"/>
      <c r="G2" s="38" t="s">
        <v>3</v>
      </c>
      <c r="H2" s="37"/>
      <c r="I2" s="37"/>
      <c r="J2" s="37"/>
      <c r="K2" s="37"/>
      <c r="L2" s="37"/>
      <c r="M2" s="37"/>
      <c r="N2" s="37"/>
      <c r="O2" s="36"/>
      <c r="P2" s="41" t="s">
        <v>116</v>
      </c>
      <c r="Q2" s="40"/>
      <c r="R2" s="40"/>
      <c r="S2" s="40"/>
      <c r="T2" s="39"/>
      <c r="U2" s="84" t="s">
        <v>1060</v>
      </c>
      <c r="V2" s="37"/>
      <c r="W2" s="37"/>
      <c r="X2" s="37"/>
      <c r="Y2" s="37"/>
      <c r="Z2" s="37"/>
      <c r="AA2" s="37"/>
      <c r="AB2" s="37"/>
      <c r="AC2" s="36"/>
      <c r="AD2" s="41" t="s">
        <v>11</v>
      </c>
      <c r="AE2" s="40"/>
      <c r="AF2" s="40"/>
      <c r="AG2" s="40"/>
      <c r="AH2" s="39"/>
      <c r="AI2" s="38" t="s">
        <v>599</v>
      </c>
      <c r="AJ2" s="37"/>
      <c r="AK2" s="37"/>
      <c r="AL2" s="37"/>
      <c r="AM2" s="37"/>
      <c r="AN2" s="37"/>
      <c r="AO2" s="37"/>
      <c r="AP2" s="37"/>
      <c r="AQ2" s="36"/>
      <c r="AR2" s="41" t="s">
        <v>13</v>
      </c>
      <c r="AS2" s="40"/>
      <c r="AT2" s="40"/>
      <c r="AU2" s="40"/>
      <c r="AV2" s="39"/>
      <c r="AW2" s="38" t="s">
        <v>599</v>
      </c>
      <c r="AX2" s="37"/>
      <c r="AY2" s="37"/>
      <c r="AZ2" s="37"/>
      <c r="BA2" s="37"/>
      <c r="BB2" s="37"/>
      <c r="BC2" s="37"/>
      <c r="BD2" s="37"/>
      <c r="BE2" s="36"/>
    </row>
    <row r="3" spans="1:57" ht="21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</row>
    <row r="4" spans="1:57" ht="21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</row>
    <row r="5" spans="1:57" ht="21" customHeight="1">
      <c r="A5" s="35"/>
      <c r="B5" s="167" t="s">
        <v>17</v>
      </c>
      <c r="C5" s="156"/>
      <c r="D5" s="157"/>
      <c r="E5" s="167" t="s">
        <v>115</v>
      </c>
      <c r="F5" s="156"/>
      <c r="G5" s="156"/>
      <c r="H5" s="156"/>
      <c r="I5" s="156"/>
      <c r="J5" s="156"/>
      <c r="K5" s="156"/>
      <c r="L5" s="156"/>
      <c r="M5" s="157"/>
      <c r="N5" s="167" t="s">
        <v>116</v>
      </c>
      <c r="O5" s="156"/>
      <c r="P5" s="156"/>
      <c r="Q5" s="156"/>
      <c r="R5" s="156"/>
      <c r="S5" s="156"/>
      <c r="T5" s="156"/>
      <c r="U5" s="156"/>
      <c r="V5" s="157"/>
      <c r="W5" s="167" t="s">
        <v>190</v>
      </c>
      <c r="X5" s="156"/>
      <c r="Y5" s="156"/>
      <c r="Z5" s="156"/>
      <c r="AA5" s="156"/>
      <c r="AB5" s="157"/>
      <c r="AC5" s="167" t="s">
        <v>191</v>
      </c>
      <c r="AD5" s="156"/>
      <c r="AE5" s="157"/>
      <c r="AF5" s="167" t="s">
        <v>192</v>
      </c>
      <c r="AG5" s="156"/>
      <c r="AH5" s="157"/>
      <c r="AI5" s="167" t="s">
        <v>193</v>
      </c>
      <c r="AJ5" s="157"/>
      <c r="AK5" s="167" t="s">
        <v>194</v>
      </c>
      <c r="AL5" s="157"/>
      <c r="AM5" s="167" t="s">
        <v>195</v>
      </c>
      <c r="AN5" s="157"/>
      <c r="AO5" s="167" t="s">
        <v>196</v>
      </c>
      <c r="AP5" s="156"/>
      <c r="AQ5" s="156"/>
      <c r="AR5" s="156"/>
      <c r="AS5" s="157"/>
      <c r="AT5" s="167" t="s">
        <v>23</v>
      </c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7"/>
    </row>
    <row r="6" spans="1:57" ht="21" customHeight="1">
      <c r="A6" s="35"/>
      <c r="B6" s="161">
        <f t="shared" ref="B6:B13" si="0">ROW()-5</f>
        <v>1</v>
      </c>
      <c r="C6" s="156"/>
      <c r="D6" s="157"/>
      <c r="E6" s="159" t="s">
        <v>1061</v>
      </c>
      <c r="F6" s="156"/>
      <c r="G6" s="156"/>
      <c r="H6" s="156"/>
      <c r="I6" s="156"/>
      <c r="J6" s="156"/>
      <c r="K6" s="156"/>
      <c r="L6" s="156"/>
      <c r="M6" s="157"/>
      <c r="N6" s="165" t="s">
        <v>1062</v>
      </c>
      <c r="O6" s="168"/>
      <c r="P6" s="168"/>
      <c r="Q6" s="168"/>
      <c r="R6" s="168"/>
      <c r="S6" s="168"/>
      <c r="T6" s="168"/>
      <c r="U6" s="168"/>
      <c r="V6" s="169"/>
      <c r="W6" s="159" t="s">
        <v>579</v>
      </c>
      <c r="X6" s="170"/>
      <c r="Y6" s="170"/>
      <c r="Z6" s="170"/>
      <c r="AA6" s="170"/>
      <c r="AB6" s="171"/>
      <c r="AC6" s="159"/>
      <c r="AD6" s="170"/>
      <c r="AE6" s="171"/>
      <c r="AF6" s="160" t="s">
        <v>198</v>
      </c>
      <c r="AG6" s="170"/>
      <c r="AH6" s="171"/>
      <c r="AI6" s="160" t="s">
        <v>198</v>
      </c>
      <c r="AJ6" s="171"/>
      <c r="AK6" s="160" t="s">
        <v>198</v>
      </c>
      <c r="AL6" s="171"/>
      <c r="AM6" s="160"/>
      <c r="AN6" s="171"/>
      <c r="AO6" s="159"/>
      <c r="AP6" s="170"/>
      <c r="AQ6" s="170"/>
      <c r="AR6" s="170"/>
      <c r="AS6" s="171"/>
      <c r="AT6" s="159" t="s">
        <v>199</v>
      </c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1"/>
    </row>
    <row r="7" spans="1:57" ht="21" customHeight="1">
      <c r="A7" s="35"/>
      <c r="B7" s="161">
        <f t="shared" si="0"/>
        <v>2</v>
      </c>
      <c r="C7" s="156"/>
      <c r="D7" s="157"/>
      <c r="E7" s="159" t="s">
        <v>254</v>
      </c>
      <c r="F7" s="156"/>
      <c r="G7" s="156"/>
      <c r="H7" s="156"/>
      <c r="I7" s="156"/>
      <c r="J7" s="156"/>
      <c r="K7" s="156"/>
      <c r="L7" s="156"/>
      <c r="M7" s="157"/>
      <c r="N7" s="159" t="s">
        <v>312</v>
      </c>
      <c r="O7" s="170"/>
      <c r="P7" s="170"/>
      <c r="Q7" s="170"/>
      <c r="R7" s="170"/>
      <c r="S7" s="170"/>
      <c r="T7" s="170"/>
      <c r="U7" s="170"/>
      <c r="V7" s="171"/>
      <c r="W7" s="159" t="s">
        <v>577</v>
      </c>
      <c r="X7" s="170"/>
      <c r="Y7" s="170"/>
      <c r="Z7" s="170"/>
      <c r="AA7" s="170"/>
      <c r="AB7" s="171"/>
      <c r="AC7" s="159"/>
      <c r="AD7" s="170"/>
      <c r="AE7" s="171"/>
      <c r="AF7" s="160" t="s">
        <v>198</v>
      </c>
      <c r="AG7" s="170"/>
      <c r="AH7" s="171"/>
      <c r="AI7" s="160"/>
      <c r="AJ7" s="171"/>
      <c r="AK7" s="160"/>
      <c r="AL7" s="171"/>
      <c r="AM7" s="160" t="s">
        <v>198</v>
      </c>
      <c r="AN7" s="171"/>
      <c r="AO7" s="159"/>
      <c r="AP7" s="170"/>
      <c r="AQ7" s="170"/>
      <c r="AR7" s="170"/>
      <c r="AS7" s="171"/>
      <c r="AT7" s="159" t="s">
        <v>851</v>
      </c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1"/>
    </row>
    <row r="8" spans="1:57" ht="21" customHeight="1">
      <c r="A8" s="35"/>
      <c r="B8" s="161">
        <f t="shared" si="0"/>
        <v>3</v>
      </c>
      <c r="C8" s="156"/>
      <c r="D8" s="157"/>
      <c r="E8" s="159" t="s">
        <v>700</v>
      </c>
      <c r="F8" s="156"/>
      <c r="G8" s="156"/>
      <c r="H8" s="156"/>
      <c r="I8" s="156"/>
      <c r="J8" s="156"/>
      <c r="K8" s="156"/>
      <c r="L8" s="156"/>
      <c r="M8" s="157"/>
      <c r="N8" s="159" t="s">
        <v>1063</v>
      </c>
      <c r="O8" s="170"/>
      <c r="P8" s="170"/>
      <c r="Q8" s="170"/>
      <c r="R8" s="170"/>
      <c r="S8" s="170"/>
      <c r="T8" s="170"/>
      <c r="U8" s="170"/>
      <c r="V8" s="171"/>
      <c r="W8" s="159" t="s">
        <v>577</v>
      </c>
      <c r="X8" s="170"/>
      <c r="Y8" s="170"/>
      <c r="Z8" s="170"/>
      <c r="AA8" s="170"/>
      <c r="AB8" s="171"/>
      <c r="AC8" s="159"/>
      <c r="AD8" s="170"/>
      <c r="AE8" s="171"/>
      <c r="AF8" s="160" t="s">
        <v>198</v>
      </c>
      <c r="AG8" s="170"/>
      <c r="AH8" s="171"/>
      <c r="AI8" s="160"/>
      <c r="AJ8" s="171"/>
      <c r="AK8" s="160"/>
      <c r="AL8" s="171"/>
      <c r="AM8" s="160" t="s">
        <v>198</v>
      </c>
      <c r="AN8" s="171"/>
      <c r="AO8" s="159"/>
      <c r="AP8" s="170"/>
      <c r="AQ8" s="170"/>
      <c r="AR8" s="170"/>
      <c r="AS8" s="171"/>
      <c r="AT8" s="159" t="s">
        <v>1064</v>
      </c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1"/>
    </row>
    <row r="9" spans="1:57" ht="21" customHeight="1">
      <c r="A9" s="35"/>
      <c r="B9" s="161">
        <f t="shared" si="0"/>
        <v>4</v>
      </c>
      <c r="C9" s="156"/>
      <c r="D9" s="157"/>
      <c r="E9" s="161" t="s">
        <v>397</v>
      </c>
      <c r="F9" s="156"/>
      <c r="G9" s="156"/>
      <c r="H9" s="156"/>
      <c r="I9" s="156"/>
      <c r="J9" s="156"/>
      <c r="K9" s="156"/>
      <c r="L9" s="156"/>
      <c r="M9" s="157"/>
      <c r="N9" s="159" t="s">
        <v>605</v>
      </c>
      <c r="O9" s="170"/>
      <c r="P9" s="170"/>
      <c r="Q9" s="170"/>
      <c r="R9" s="170"/>
      <c r="S9" s="170"/>
      <c r="T9" s="170"/>
      <c r="U9" s="170"/>
      <c r="V9" s="171"/>
      <c r="W9" s="159" t="s">
        <v>583</v>
      </c>
      <c r="X9" s="170"/>
      <c r="Y9" s="170"/>
      <c r="Z9" s="170"/>
      <c r="AA9" s="170"/>
      <c r="AB9" s="171"/>
      <c r="AC9" s="159" t="s">
        <v>228</v>
      </c>
      <c r="AD9" s="170"/>
      <c r="AE9" s="171"/>
      <c r="AF9" s="160" t="s">
        <v>198</v>
      </c>
      <c r="AG9" s="170"/>
      <c r="AH9" s="171"/>
      <c r="AI9" s="160"/>
      <c r="AJ9" s="171"/>
      <c r="AK9" s="160"/>
      <c r="AL9" s="171"/>
      <c r="AM9" s="160"/>
      <c r="AN9" s="171"/>
      <c r="AO9" s="159"/>
      <c r="AP9" s="170"/>
      <c r="AQ9" s="170"/>
      <c r="AR9" s="170"/>
      <c r="AS9" s="171"/>
      <c r="AT9" s="159" t="s">
        <v>229</v>
      </c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1"/>
    </row>
    <row r="10" spans="1:57" ht="21" customHeight="1">
      <c r="A10" s="35"/>
      <c r="B10" s="161">
        <f t="shared" si="0"/>
        <v>5</v>
      </c>
      <c r="C10" s="156"/>
      <c r="D10" s="157"/>
      <c r="E10" s="172" t="s">
        <v>324</v>
      </c>
      <c r="F10" s="156"/>
      <c r="G10" s="156"/>
      <c r="H10" s="156"/>
      <c r="I10" s="156"/>
      <c r="J10" s="156"/>
      <c r="K10" s="156"/>
      <c r="L10" s="156"/>
      <c r="M10" s="157"/>
      <c r="N10" s="159" t="s">
        <v>325</v>
      </c>
      <c r="O10" s="170"/>
      <c r="P10" s="170"/>
      <c r="Q10" s="170"/>
      <c r="R10" s="170"/>
      <c r="S10" s="170"/>
      <c r="T10" s="170"/>
      <c r="U10" s="170"/>
      <c r="V10" s="171"/>
      <c r="W10" s="159" t="s">
        <v>816</v>
      </c>
      <c r="X10" s="170"/>
      <c r="Y10" s="170"/>
      <c r="Z10" s="170"/>
      <c r="AA10" s="170"/>
      <c r="AB10" s="171"/>
      <c r="AC10" s="159" t="s">
        <v>602</v>
      </c>
      <c r="AD10" s="170"/>
      <c r="AE10" s="171"/>
      <c r="AF10" s="160" t="s">
        <v>198</v>
      </c>
      <c r="AG10" s="170"/>
      <c r="AH10" s="171"/>
      <c r="AI10" s="160"/>
      <c r="AJ10" s="171"/>
      <c r="AK10" s="160"/>
      <c r="AL10" s="171"/>
      <c r="AM10" s="160"/>
      <c r="AN10" s="171"/>
      <c r="AO10" s="159"/>
      <c r="AP10" s="170"/>
      <c r="AQ10" s="170"/>
      <c r="AR10" s="170"/>
      <c r="AS10" s="171"/>
      <c r="AT10" s="159" t="s">
        <v>1065</v>
      </c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1"/>
    </row>
    <row r="11" spans="1:57" ht="21" customHeight="1">
      <c r="A11" s="35"/>
      <c r="B11" s="161">
        <f t="shared" si="0"/>
        <v>6</v>
      </c>
      <c r="C11" s="156"/>
      <c r="D11" s="157"/>
      <c r="E11" s="161" t="s">
        <v>1066</v>
      </c>
      <c r="F11" s="156"/>
      <c r="G11" s="156"/>
      <c r="H11" s="156"/>
      <c r="I11" s="156"/>
      <c r="J11" s="156"/>
      <c r="K11" s="156"/>
      <c r="L11" s="156"/>
      <c r="M11" s="157"/>
      <c r="N11" s="159" t="s">
        <v>1067</v>
      </c>
      <c r="O11" s="170"/>
      <c r="P11" s="170"/>
      <c r="Q11" s="170"/>
      <c r="R11" s="170"/>
      <c r="S11" s="170"/>
      <c r="T11" s="170"/>
      <c r="U11" s="170"/>
      <c r="V11" s="171"/>
      <c r="W11" s="159" t="s">
        <v>596</v>
      </c>
      <c r="X11" s="170"/>
      <c r="Y11" s="170"/>
      <c r="Z11" s="170"/>
      <c r="AA11" s="170"/>
      <c r="AB11" s="171"/>
      <c r="AC11" s="165"/>
      <c r="AD11" s="168"/>
      <c r="AE11" s="169"/>
      <c r="AF11" s="173" t="s">
        <v>198</v>
      </c>
      <c r="AG11" s="168"/>
      <c r="AH11" s="169"/>
      <c r="AI11" s="173"/>
      <c r="AJ11" s="169"/>
      <c r="AK11" s="173"/>
      <c r="AL11" s="169"/>
      <c r="AM11" s="173"/>
      <c r="AN11" s="169"/>
      <c r="AO11" s="165" t="s">
        <v>1068</v>
      </c>
      <c r="AP11" s="168"/>
      <c r="AQ11" s="168"/>
      <c r="AR11" s="168"/>
      <c r="AS11" s="169"/>
      <c r="AT11" s="159" t="s">
        <v>1069</v>
      </c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1"/>
    </row>
    <row r="12" spans="1:57" ht="21" customHeight="1">
      <c r="A12" s="35"/>
      <c r="B12" s="161">
        <f t="shared" si="0"/>
        <v>7</v>
      </c>
      <c r="C12" s="156"/>
      <c r="D12" s="157"/>
      <c r="E12" s="159" t="s">
        <v>4</v>
      </c>
      <c r="F12" s="156"/>
      <c r="G12" s="156"/>
      <c r="H12" s="156"/>
      <c r="I12" s="156"/>
      <c r="J12" s="156"/>
      <c r="K12" s="156"/>
      <c r="L12" s="156"/>
      <c r="M12" s="157"/>
      <c r="N12" s="159" t="s">
        <v>238</v>
      </c>
      <c r="O12" s="170"/>
      <c r="P12" s="170"/>
      <c r="Q12" s="170"/>
      <c r="R12" s="170"/>
      <c r="S12" s="170"/>
      <c r="T12" s="170"/>
      <c r="U12" s="170"/>
      <c r="V12" s="171"/>
      <c r="W12" s="159" t="s">
        <v>578</v>
      </c>
      <c r="X12" s="170"/>
      <c r="Y12" s="170"/>
      <c r="Z12" s="170"/>
      <c r="AA12" s="170"/>
      <c r="AB12" s="171"/>
      <c r="AC12" s="159"/>
      <c r="AD12" s="170"/>
      <c r="AE12" s="171"/>
      <c r="AF12" s="160" t="s">
        <v>198</v>
      </c>
      <c r="AG12" s="170"/>
      <c r="AH12" s="171"/>
      <c r="AI12" s="160"/>
      <c r="AJ12" s="171"/>
      <c r="AK12" s="160"/>
      <c r="AL12" s="171"/>
      <c r="AM12" s="160"/>
      <c r="AN12" s="171"/>
      <c r="AO12" s="159" t="s">
        <v>205</v>
      </c>
      <c r="AP12" s="170"/>
      <c r="AQ12" s="170"/>
      <c r="AR12" s="170"/>
      <c r="AS12" s="171"/>
      <c r="AT12" s="166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1"/>
    </row>
    <row r="13" spans="1:57" ht="21" customHeight="1">
      <c r="A13" s="35"/>
      <c r="B13" s="161">
        <f t="shared" si="0"/>
        <v>8</v>
      </c>
      <c r="C13" s="156"/>
      <c r="D13" s="157"/>
      <c r="E13" s="159" t="s">
        <v>22</v>
      </c>
      <c r="F13" s="156"/>
      <c r="G13" s="156"/>
      <c r="H13" s="156"/>
      <c r="I13" s="156"/>
      <c r="J13" s="156"/>
      <c r="K13" s="156"/>
      <c r="L13" s="156"/>
      <c r="M13" s="157"/>
      <c r="N13" s="159" t="s">
        <v>204</v>
      </c>
      <c r="O13" s="170"/>
      <c r="P13" s="170"/>
      <c r="Q13" s="170"/>
      <c r="R13" s="170"/>
      <c r="S13" s="170"/>
      <c r="T13" s="170"/>
      <c r="U13" s="170"/>
      <c r="V13" s="171"/>
      <c r="W13" s="159" t="s">
        <v>578</v>
      </c>
      <c r="X13" s="170"/>
      <c r="Y13" s="170"/>
      <c r="Z13" s="170"/>
      <c r="AA13" s="170"/>
      <c r="AB13" s="171"/>
      <c r="AC13" s="159"/>
      <c r="AD13" s="170"/>
      <c r="AE13" s="171"/>
      <c r="AF13" s="160" t="s">
        <v>198</v>
      </c>
      <c r="AG13" s="170"/>
      <c r="AH13" s="171"/>
      <c r="AI13" s="160"/>
      <c r="AJ13" s="171"/>
      <c r="AK13" s="160"/>
      <c r="AL13" s="171"/>
      <c r="AM13" s="160"/>
      <c r="AN13" s="171"/>
      <c r="AO13" s="159" t="s">
        <v>905</v>
      </c>
      <c r="AP13" s="170"/>
      <c r="AQ13" s="170"/>
      <c r="AR13" s="170"/>
      <c r="AS13" s="171"/>
      <c r="AT13" s="166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1"/>
    </row>
    <row r="14" spans="1:57" ht="21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</row>
    <row r="15" spans="1:57" ht="21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</row>
    <row r="16" spans="1:57" ht="21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</row>
    <row r="17" spans="1:57" ht="21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</row>
    <row r="18" spans="1:57" ht="21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</row>
    <row r="19" spans="1:57" ht="21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</row>
    <row r="20" spans="1:57" ht="21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</row>
    <row r="21" spans="1:57" ht="21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</row>
    <row r="22" spans="1:57" ht="21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</row>
    <row r="23" spans="1:57" ht="21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</row>
    <row r="24" spans="1:57" ht="21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</row>
    <row r="25" spans="1:57" ht="21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</row>
    <row r="26" spans="1:57" ht="21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</row>
    <row r="27" spans="1:57" ht="21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</row>
    <row r="28" spans="1:57" ht="21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</row>
    <row r="29" spans="1:57" ht="21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</row>
    <row r="30" spans="1:57" ht="21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</row>
    <row r="31" spans="1:57" ht="21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</row>
    <row r="32" spans="1:57" ht="21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</row>
    <row r="33" spans="1:57" ht="21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</row>
    <row r="34" spans="1:57" ht="21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</row>
    <row r="35" spans="1:57" ht="21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</row>
    <row r="36" spans="1:57" ht="21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</row>
    <row r="37" spans="1:57" ht="21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</row>
    <row r="38" spans="1:57" ht="21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</row>
    <row r="39" spans="1:57" ht="21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</row>
    <row r="40" spans="1:57" ht="21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</row>
    <row r="41" spans="1:57" ht="21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</row>
    <row r="42" spans="1:57" ht="21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</row>
    <row r="43" spans="1:57" ht="21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</row>
    <row r="44" spans="1:57" ht="21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</row>
    <row r="45" spans="1:57" ht="21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</row>
    <row r="46" spans="1:57" ht="21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</row>
    <row r="47" spans="1:57" ht="21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</row>
    <row r="48" spans="1:57" ht="21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</row>
    <row r="49" spans="1:57" ht="21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</row>
    <row r="50" spans="1:57" ht="21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</row>
    <row r="51" spans="1:57" ht="21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</row>
    <row r="52" spans="1:57" ht="21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</row>
    <row r="53" spans="1:57" ht="21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</row>
    <row r="54" spans="1:57" ht="21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</row>
    <row r="55" spans="1:57" ht="21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</row>
    <row r="56" spans="1:57" ht="21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</row>
    <row r="57" spans="1:57" ht="21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</row>
    <row r="58" spans="1:57" ht="21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</row>
    <row r="59" spans="1:57" ht="21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</row>
    <row r="60" spans="1:57" ht="21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</row>
    <row r="61" spans="1:57" ht="21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</row>
    <row r="62" spans="1:57" ht="21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</row>
    <row r="63" spans="1:57" ht="21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</row>
    <row r="64" spans="1:57" ht="21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</row>
    <row r="65" spans="1:57" ht="21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</row>
    <row r="66" spans="1:57" ht="21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</row>
    <row r="67" spans="1:57" ht="21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</row>
    <row r="68" spans="1:57" ht="21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</row>
    <row r="69" spans="1:57" ht="21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</row>
    <row r="70" spans="1:57" ht="21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</row>
    <row r="71" spans="1:57" ht="21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</row>
    <row r="72" spans="1:57" ht="21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</row>
    <row r="73" spans="1:57" ht="21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</row>
    <row r="74" spans="1:57" ht="21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</row>
    <row r="75" spans="1:57" ht="21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</row>
    <row r="76" spans="1:57" ht="21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</row>
    <row r="77" spans="1:57" ht="21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</row>
    <row r="78" spans="1:57" ht="21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</row>
    <row r="79" spans="1:57" ht="21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</row>
    <row r="80" spans="1:57" ht="21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</row>
    <row r="81" spans="1:57" ht="21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</row>
    <row r="82" spans="1:57" ht="21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</row>
    <row r="83" spans="1:57" ht="21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</row>
    <row r="84" spans="1:57" ht="21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</row>
    <row r="85" spans="1:57" ht="21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</row>
    <row r="86" spans="1:57" ht="21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</row>
    <row r="87" spans="1:57" ht="21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</row>
    <row r="88" spans="1:57" ht="21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</row>
    <row r="89" spans="1:57" ht="21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</row>
    <row r="90" spans="1:57" ht="21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</row>
    <row r="91" spans="1:57" ht="21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</row>
    <row r="92" spans="1:57" ht="21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</row>
    <row r="93" spans="1:57" ht="21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</row>
    <row r="94" spans="1:57" ht="21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</row>
    <row r="95" spans="1:57" ht="21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</row>
    <row r="96" spans="1:57" ht="21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</row>
    <row r="97" spans="1:57" ht="21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</row>
    <row r="98" spans="1:57" ht="21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</row>
    <row r="99" spans="1:57" ht="21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</row>
    <row r="100" spans="1:57" ht="21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</row>
    <row r="101" spans="1:57" ht="21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</row>
    <row r="102" spans="1:57" ht="21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</row>
    <row r="103" spans="1:57" ht="21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</row>
    <row r="104" spans="1:57" ht="21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</row>
    <row r="105" spans="1:57" ht="21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</row>
    <row r="106" spans="1:57" ht="21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</row>
    <row r="107" spans="1:57" ht="21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</row>
    <row r="108" spans="1:57" ht="21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</row>
    <row r="109" spans="1:57" ht="21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</row>
    <row r="110" spans="1:57" ht="21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</row>
    <row r="111" spans="1:57" ht="21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</row>
    <row r="112" spans="1:57" ht="21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</row>
    <row r="113" spans="1:57" ht="21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</row>
    <row r="114" spans="1:57" ht="21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</row>
    <row r="115" spans="1:57" ht="21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</row>
    <row r="116" spans="1:57" ht="21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</row>
    <row r="117" spans="1:57" ht="21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</row>
    <row r="118" spans="1:57" ht="21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</row>
    <row r="119" spans="1:57" ht="21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</row>
    <row r="120" spans="1:57" ht="21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</row>
    <row r="121" spans="1:57" ht="2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</row>
    <row r="122" spans="1:57" ht="21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</row>
    <row r="123" spans="1:57" ht="21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</row>
    <row r="124" spans="1:57" ht="21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</row>
    <row r="125" spans="1:57" ht="21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</row>
    <row r="126" spans="1:57" ht="21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</row>
    <row r="127" spans="1:57" ht="21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</row>
    <row r="128" spans="1:57" ht="21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</row>
    <row r="129" spans="1:57" ht="21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</row>
    <row r="130" spans="1:57" ht="21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</row>
    <row r="131" spans="1:57" ht="21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</row>
    <row r="132" spans="1:57" ht="21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</row>
    <row r="133" spans="1:57" ht="21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</row>
    <row r="134" spans="1:57" ht="21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</row>
    <row r="135" spans="1:57" ht="21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</row>
    <row r="136" spans="1:57" ht="21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</row>
    <row r="137" spans="1:57" ht="21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</row>
    <row r="138" spans="1:57" ht="21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</row>
    <row r="139" spans="1:57" ht="21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</row>
    <row r="140" spans="1:57" ht="21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</row>
    <row r="141" spans="1:57" ht="21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</row>
    <row r="142" spans="1:57" ht="21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</row>
    <row r="143" spans="1:57" ht="21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</row>
    <row r="144" spans="1:57" ht="21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</row>
    <row r="145" spans="1:57" ht="21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</row>
    <row r="146" spans="1:57" ht="21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</row>
    <row r="147" spans="1:57" ht="21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</row>
    <row r="148" spans="1:57" ht="21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</row>
    <row r="149" spans="1:57" ht="21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</row>
    <row r="150" spans="1:57" ht="21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</row>
    <row r="151" spans="1:57" ht="21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</row>
    <row r="152" spans="1:57" ht="21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</row>
    <row r="153" spans="1:57" ht="21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</row>
    <row r="154" spans="1:57" ht="21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</row>
    <row r="155" spans="1:57" ht="21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</row>
    <row r="156" spans="1:57" ht="21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</row>
    <row r="157" spans="1:57" ht="21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</row>
    <row r="158" spans="1:57" ht="21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</row>
    <row r="159" spans="1:57" ht="21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</row>
    <row r="160" spans="1:57" ht="21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</row>
    <row r="161" spans="1:57" ht="21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</row>
    <row r="162" spans="1:57" ht="21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</row>
    <row r="163" spans="1:57" ht="21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</row>
    <row r="164" spans="1:57" ht="21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</row>
    <row r="165" spans="1:57" ht="21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</row>
    <row r="166" spans="1:57" ht="21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</row>
    <row r="167" spans="1:57" ht="21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</row>
    <row r="168" spans="1:57" ht="21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</row>
    <row r="169" spans="1:57" ht="21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</row>
    <row r="170" spans="1:57" ht="21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</row>
    <row r="171" spans="1:57" ht="21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</row>
    <row r="172" spans="1:57" ht="21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</row>
    <row r="173" spans="1:57" ht="21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</row>
    <row r="174" spans="1:57" ht="21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</row>
    <row r="175" spans="1:57" ht="21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</row>
    <row r="176" spans="1:57" ht="21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</row>
    <row r="177" spans="1:57" ht="21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</row>
    <row r="178" spans="1:57" ht="21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</row>
    <row r="179" spans="1:57" ht="21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</row>
    <row r="180" spans="1:57" ht="21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</row>
    <row r="181" spans="1:57" ht="21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</row>
    <row r="182" spans="1:57" ht="21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</row>
    <row r="183" spans="1:57" ht="21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</row>
    <row r="184" spans="1:57" ht="21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</row>
    <row r="185" spans="1:57" ht="21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</row>
    <row r="186" spans="1:57" ht="21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</row>
    <row r="187" spans="1:57" ht="21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</row>
    <row r="188" spans="1:57" ht="21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</row>
    <row r="189" spans="1:57" ht="21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</row>
    <row r="190" spans="1:57" ht="21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</row>
    <row r="191" spans="1:57" ht="21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</row>
    <row r="192" spans="1:57" ht="21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</row>
    <row r="193" spans="1:57" ht="21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</row>
    <row r="194" spans="1:57" ht="21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</row>
    <row r="195" spans="1:57" ht="21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</row>
    <row r="196" spans="1:57" ht="21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</row>
    <row r="197" spans="1:57" ht="21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</row>
    <row r="198" spans="1:57" ht="21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</row>
    <row r="199" spans="1:57" ht="21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</row>
    <row r="200" spans="1:57" ht="21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</row>
    <row r="201" spans="1:57" ht="21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</row>
    <row r="202" spans="1:57" ht="21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</row>
    <row r="203" spans="1:57" ht="21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</row>
    <row r="204" spans="1:57" ht="21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</row>
    <row r="205" spans="1:57" ht="21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</row>
    <row r="206" spans="1:57" ht="21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</row>
    <row r="207" spans="1:57" ht="21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</row>
    <row r="208" spans="1:57" ht="21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</row>
    <row r="209" spans="1:57" ht="21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</row>
    <row r="210" spans="1:57" ht="21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</row>
    <row r="211" spans="1:57" ht="21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</row>
    <row r="212" spans="1:57" ht="21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</row>
    <row r="213" spans="1:57" ht="21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</row>
    <row r="214" spans="1:57" ht="21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</row>
    <row r="215" spans="1:57" ht="21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</row>
    <row r="216" spans="1:57" ht="21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</row>
    <row r="217" spans="1:57" ht="21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</row>
    <row r="218" spans="1:57" ht="21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</row>
    <row r="219" spans="1:57" ht="21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</row>
    <row r="220" spans="1:57" ht="21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</row>
    <row r="221" spans="1:57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</row>
    <row r="222" spans="1:57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</row>
    <row r="223" spans="1:57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</row>
    <row r="224" spans="1:57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</row>
    <row r="225" spans="1:57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</row>
    <row r="226" spans="1:57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</row>
    <row r="227" spans="1:5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</row>
    <row r="228" spans="1:57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</row>
    <row r="229" spans="1:57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</row>
    <row r="230" spans="1:57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</row>
    <row r="231" spans="1:57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</row>
    <row r="232" spans="1:57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</row>
    <row r="233" spans="1:57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</row>
    <row r="234" spans="1:57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</row>
    <row r="235" spans="1:57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</row>
    <row r="236" spans="1:57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</row>
    <row r="237" spans="1:5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</row>
    <row r="238" spans="1:57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</row>
    <row r="239" spans="1:57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</row>
    <row r="240" spans="1:57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</row>
    <row r="241" spans="1:57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</row>
    <row r="242" spans="1:57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</row>
    <row r="243" spans="1:57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</row>
    <row r="244" spans="1:57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</row>
    <row r="245" spans="1:57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</row>
    <row r="246" spans="1:57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</row>
    <row r="247" spans="1:5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</row>
    <row r="248" spans="1:57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</row>
    <row r="249" spans="1:57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</row>
    <row r="250" spans="1:57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</row>
    <row r="251" spans="1:57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</row>
    <row r="252" spans="1:57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</row>
    <row r="253" spans="1:57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</row>
    <row r="254" spans="1:57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</row>
    <row r="255" spans="1:57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</row>
    <row r="256" spans="1:57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</row>
    <row r="257" spans="1: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</row>
    <row r="258" spans="1:57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</row>
    <row r="259" spans="1:57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</row>
    <row r="260" spans="1:57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</row>
    <row r="261" spans="1:57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</row>
    <row r="262" spans="1:57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</row>
    <row r="263" spans="1:57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</row>
    <row r="264" spans="1:57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</row>
    <row r="265" spans="1:57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</row>
    <row r="266" spans="1:57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</row>
    <row r="267" spans="1:5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</row>
    <row r="268" spans="1:57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</row>
    <row r="269" spans="1:57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</row>
    <row r="270" spans="1:57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</row>
    <row r="271" spans="1:57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</row>
    <row r="272" spans="1:57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</row>
    <row r="273" spans="1:57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</row>
    <row r="274" spans="1:57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</row>
    <row r="275" spans="1:57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</row>
    <row r="276" spans="1:57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</row>
    <row r="277" spans="1:5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</row>
    <row r="278" spans="1:57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</row>
    <row r="279" spans="1:57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</row>
    <row r="280" spans="1:57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</row>
    <row r="281" spans="1:57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</row>
    <row r="282" spans="1:57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</row>
    <row r="283" spans="1:57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</row>
    <row r="284" spans="1:57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</row>
    <row r="285" spans="1:57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</row>
    <row r="286" spans="1:57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</row>
    <row r="287" spans="1:5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</row>
    <row r="288" spans="1:57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</row>
    <row r="289" spans="1:57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</row>
    <row r="290" spans="1:57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</row>
    <row r="291" spans="1:57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</row>
    <row r="292" spans="1:57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</row>
    <row r="293" spans="1:57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</row>
    <row r="294" spans="1:57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</row>
    <row r="295" spans="1:57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</row>
    <row r="296" spans="1:57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</row>
    <row r="297" spans="1:5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</row>
    <row r="298" spans="1:57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</row>
    <row r="299" spans="1:57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</row>
    <row r="300" spans="1:57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</row>
    <row r="301" spans="1:57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</row>
    <row r="302" spans="1:57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</row>
    <row r="303" spans="1:57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</row>
    <row r="304" spans="1:57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</row>
    <row r="305" spans="1:57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</row>
    <row r="306" spans="1:57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</row>
    <row r="307" spans="1:5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</row>
    <row r="308" spans="1:57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</row>
    <row r="309" spans="1:57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</row>
    <row r="310" spans="1:57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</row>
    <row r="311" spans="1:57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</row>
    <row r="312" spans="1:57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</row>
    <row r="313" spans="1:57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</row>
    <row r="314" spans="1:57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</row>
    <row r="315" spans="1:57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</row>
    <row r="316" spans="1:57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</row>
    <row r="317" spans="1:5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</row>
    <row r="318" spans="1:57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</row>
    <row r="319" spans="1:57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</row>
    <row r="320" spans="1:57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</row>
    <row r="321" spans="1:57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</row>
    <row r="322" spans="1:57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</row>
    <row r="323" spans="1:57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</row>
    <row r="324" spans="1:57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</row>
    <row r="325" spans="1:57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</row>
    <row r="326" spans="1:57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</row>
    <row r="327" spans="1:5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</row>
    <row r="328" spans="1:57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</row>
    <row r="329" spans="1:57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</row>
    <row r="330" spans="1:57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</row>
    <row r="331" spans="1:57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</row>
    <row r="332" spans="1:57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</row>
    <row r="333" spans="1:57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</row>
    <row r="334" spans="1:57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</row>
    <row r="335" spans="1:57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</row>
    <row r="336" spans="1:57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</row>
    <row r="337" spans="1:5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</row>
    <row r="338" spans="1:57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</row>
    <row r="339" spans="1:57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</row>
    <row r="340" spans="1:57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</row>
    <row r="341" spans="1:57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</row>
    <row r="342" spans="1:57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</row>
    <row r="343" spans="1:57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</row>
    <row r="344" spans="1:57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</row>
    <row r="345" spans="1:57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</row>
    <row r="346" spans="1:57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</row>
    <row r="347" spans="1:5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</row>
    <row r="348" spans="1:57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</row>
    <row r="349" spans="1:57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</row>
    <row r="350" spans="1:57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</row>
    <row r="351" spans="1:57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</row>
    <row r="352" spans="1:57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</row>
    <row r="353" spans="1:57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</row>
    <row r="354" spans="1:57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</row>
    <row r="355" spans="1:57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</row>
    <row r="356" spans="1:57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</row>
    <row r="357" spans="1: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</row>
    <row r="358" spans="1:57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</row>
    <row r="359" spans="1:57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</row>
    <row r="360" spans="1:57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</row>
    <row r="361" spans="1:57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</row>
    <row r="362" spans="1:57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</row>
    <row r="363" spans="1:57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</row>
    <row r="364" spans="1:57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</row>
    <row r="365" spans="1:57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</row>
    <row r="366" spans="1:57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</row>
    <row r="367" spans="1:5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</row>
    <row r="368" spans="1:57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</row>
    <row r="369" spans="1:57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</row>
    <row r="370" spans="1:57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</row>
    <row r="371" spans="1:57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</row>
    <row r="372" spans="1:57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</row>
    <row r="373" spans="1:57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</row>
    <row r="374" spans="1:57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</row>
    <row r="375" spans="1:57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</row>
    <row r="376" spans="1:57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</row>
    <row r="377" spans="1:5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</row>
    <row r="378" spans="1:57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</row>
    <row r="379" spans="1:57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</row>
    <row r="380" spans="1:57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</row>
    <row r="381" spans="1:57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</row>
    <row r="382" spans="1:57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</row>
    <row r="383" spans="1:57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</row>
    <row r="384" spans="1:57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</row>
    <row r="385" spans="1:57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</row>
    <row r="386" spans="1:57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</row>
    <row r="387" spans="1:5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</row>
    <row r="388" spans="1:57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</row>
    <row r="389" spans="1:57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</row>
    <row r="390" spans="1:57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</row>
    <row r="391" spans="1:57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</row>
    <row r="392" spans="1:57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</row>
    <row r="393" spans="1:57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</row>
    <row r="394" spans="1:57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</row>
    <row r="395" spans="1:57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</row>
    <row r="396" spans="1:57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</row>
    <row r="397" spans="1:5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</row>
    <row r="398" spans="1:57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</row>
    <row r="399" spans="1:57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</row>
    <row r="400" spans="1:57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</row>
    <row r="401" spans="1:57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</row>
    <row r="402" spans="1:57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</row>
    <row r="403" spans="1:57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</row>
    <row r="404" spans="1:57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</row>
    <row r="405" spans="1:57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</row>
    <row r="406" spans="1:57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</row>
    <row r="407" spans="1:5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</row>
    <row r="408" spans="1:57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</row>
    <row r="409" spans="1:57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</row>
    <row r="410" spans="1:57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</row>
    <row r="411" spans="1:57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</row>
    <row r="412" spans="1:57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</row>
    <row r="413" spans="1:57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</row>
    <row r="414" spans="1:57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</row>
    <row r="415" spans="1:57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</row>
    <row r="416" spans="1:57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</row>
    <row r="417" spans="1:5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</row>
    <row r="418" spans="1:57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</row>
    <row r="419" spans="1:57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</row>
    <row r="420" spans="1:57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</row>
    <row r="421" spans="1:57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</row>
    <row r="422" spans="1:57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</row>
    <row r="423" spans="1:57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</row>
    <row r="424" spans="1:57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</row>
    <row r="425" spans="1:57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</row>
    <row r="426" spans="1:57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</row>
    <row r="427" spans="1:5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</row>
    <row r="428" spans="1:57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</row>
    <row r="429" spans="1:57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</row>
    <row r="430" spans="1:57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</row>
    <row r="431" spans="1:57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</row>
    <row r="432" spans="1:57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</row>
    <row r="433" spans="1:57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</row>
    <row r="434" spans="1:57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</row>
    <row r="435" spans="1:57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</row>
    <row r="436" spans="1:57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</row>
    <row r="437" spans="1:5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</row>
    <row r="438" spans="1:57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</row>
    <row r="439" spans="1:57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</row>
    <row r="440" spans="1:57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</row>
    <row r="441" spans="1:57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</row>
    <row r="442" spans="1:57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</row>
    <row r="443" spans="1:57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</row>
    <row r="444" spans="1:57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</row>
    <row r="445" spans="1:57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</row>
    <row r="446" spans="1:57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</row>
    <row r="447" spans="1:5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</row>
    <row r="448" spans="1:57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</row>
    <row r="449" spans="1:57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</row>
    <row r="450" spans="1:57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</row>
    <row r="451" spans="1:57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</row>
    <row r="452" spans="1:57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</row>
    <row r="453" spans="1:57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</row>
    <row r="454" spans="1:57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</row>
    <row r="455" spans="1:57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</row>
    <row r="456" spans="1:57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</row>
    <row r="457" spans="1: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</row>
    <row r="458" spans="1:57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</row>
    <row r="459" spans="1:57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</row>
    <row r="460" spans="1:57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</row>
    <row r="461" spans="1:57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</row>
    <row r="462" spans="1:57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</row>
    <row r="463" spans="1:57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</row>
    <row r="464" spans="1:57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</row>
    <row r="465" spans="1:57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</row>
    <row r="466" spans="1:57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</row>
    <row r="467" spans="1:5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</row>
    <row r="468" spans="1:57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</row>
    <row r="469" spans="1:57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</row>
    <row r="470" spans="1:57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</row>
    <row r="471" spans="1:57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</row>
    <row r="472" spans="1:57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</row>
    <row r="473" spans="1:57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</row>
    <row r="474" spans="1:57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</row>
    <row r="475" spans="1:57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</row>
    <row r="476" spans="1:57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</row>
    <row r="477" spans="1:5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</row>
    <row r="478" spans="1:57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</row>
    <row r="479" spans="1:57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</row>
    <row r="480" spans="1:57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</row>
    <row r="481" spans="1:57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</row>
    <row r="482" spans="1:57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</row>
    <row r="483" spans="1:57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</row>
    <row r="484" spans="1:57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</row>
    <row r="485" spans="1:57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</row>
    <row r="486" spans="1:57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</row>
    <row r="487" spans="1:5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</row>
    <row r="488" spans="1:57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</row>
    <row r="489" spans="1:57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</row>
    <row r="490" spans="1:57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</row>
    <row r="491" spans="1:57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</row>
    <row r="492" spans="1:57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</row>
    <row r="493" spans="1:57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</row>
    <row r="494" spans="1:57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</row>
    <row r="495" spans="1:57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</row>
    <row r="496" spans="1:57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</row>
    <row r="497" spans="1:5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</row>
    <row r="498" spans="1:57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</row>
    <row r="499" spans="1:57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</row>
    <row r="500" spans="1:57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</row>
    <row r="501" spans="1:57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</row>
    <row r="502" spans="1:57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</row>
    <row r="503" spans="1:57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</row>
    <row r="504" spans="1:57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</row>
    <row r="505" spans="1:57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</row>
    <row r="506" spans="1:57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</row>
    <row r="507" spans="1:5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</row>
    <row r="508" spans="1:57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</row>
    <row r="509" spans="1:57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</row>
    <row r="510" spans="1:57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</row>
    <row r="511" spans="1:57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</row>
    <row r="512" spans="1:57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</row>
    <row r="513" spans="1:57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</row>
    <row r="514" spans="1:57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</row>
    <row r="515" spans="1:57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</row>
    <row r="516" spans="1:57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</row>
    <row r="517" spans="1:5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</row>
    <row r="518" spans="1:57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</row>
    <row r="519" spans="1:57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</row>
    <row r="520" spans="1:57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</row>
    <row r="521" spans="1:57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</row>
    <row r="522" spans="1:57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</row>
    <row r="523" spans="1:57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</row>
    <row r="524" spans="1:57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</row>
    <row r="525" spans="1:57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</row>
    <row r="526" spans="1:57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</row>
    <row r="527" spans="1:5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</row>
    <row r="528" spans="1:57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</row>
    <row r="529" spans="1:57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</row>
    <row r="530" spans="1:57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</row>
    <row r="531" spans="1:57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</row>
    <row r="532" spans="1:57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</row>
    <row r="533" spans="1:57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</row>
    <row r="534" spans="1:57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</row>
    <row r="535" spans="1:57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</row>
    <row r="536" spans="1:57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</row>
    <row r="537" spans="1:5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</row>
    <row r="538" spans="1:57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</row>
    <row r="539" spans="1:57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</row>
    <row r="540" spans="1:57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</row>
    <row r="541" spans="1:57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</row>
    <row r="542" spans="1:57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</row>
    <row r="543" spans="1:57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</row>
    <row r="544" spans="1:57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</row>
    <row r="545" spans="1:57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</row>
    <row r="546" spans="1:57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</row>
    <row r="547" spans="1:5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</row>
    <row r="548" spans="1:57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</row>
    <row r="549" spans="1:57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</row>
    <row r="550" spans="1:57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</row>
    <row r="551" spans="1:57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</row>
    <row r="552" spans="1:57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</row>
    <row r="553" spans="1:57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</row>
    <row r="554" spans="1:57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</row>
    <row r="555" spans="1:57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</row>
    <row r="556" spans="1:57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</row>
    <row r="557" spans="1: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</row>
    <row r="558" spans="1:57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</row>
    <row r="559" spans="1:57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</row>
    <row r="560" spans="1:57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</row>
    <row r="561" spans="1:57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</row>
    <row r="562" spans="1:57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</row>
    <row r="563" spans="1:57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</row>
    <row r="564" spans="1:57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</row>
    <row r="565" spans="1:57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</row>
    <row r="566" spans="1:57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</row>
    <row r="567" spans="1:5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</row>
    <row r="568" spans="1:57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</row>
    <row r="569" spans="1:57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</row>
    <row r="570" spans="1:57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</row>
    <row r="571" spans="1:57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</row>
    <row r="572" spans="1:57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</row>
    <row r="573" spans="1:57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</row>
    <row r="574" spans="1:57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</row>
    <row r="575" spans="1:57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</row>
    <row r="576" spans="1:57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</row>
    <row r="577" spans="1:5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</row>
    <row r="578" spans="1:57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</row>
    <row r="579" spans="1:57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</row>
    <row r="580" spans="1:57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</row>
    <row r="581" spans="1:57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</row>
    <row r="582" spans="1:57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</row>
    <row r="583" spans="1:57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</row>
    <row r="584" spans="1:57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</row>
    <row r="585" spans="1:57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</row>
    <row r="586" spans="1:57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</row>
    <row r="587" spans="1:5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</row>
    <row r="588" spans="1:57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</row>
    <row r="589" spans="1:57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</row>
    <row r="590" spans="1:57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</row>
    <row r="591" spans="1:57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</row>
    <row r="592" spans="1:57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</row>
    <row r="593" spans="1:57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</row>
    <row r="594" spans="1:57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</row>
    <row r="595" spans="1:57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</row>
    <row r="596" spans="1:57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</row>
    <row r="597" spans="1:5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</row>
    <row r="598" spans="1:57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</row>
    <row r="599" spans="1:57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</row>
    <row r="600" spans="1:57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</row>
    <row r="601" spans="1:57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</row>
    <row r="602" spans="1:57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</row>
    <row r="603" spans="1:57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</row>
    <row r="604" spans="1:57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</row>
    <row r="605" spans="1:57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</row>
    <row r="606" spans="1:57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</row>
    <row r="607" spans="1:5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</row>
    <row r="608" spans="1:57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</row>
    <row r="609" spans="1:57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</row>
    <row r="610" spans="1:57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</row>
    <row r="611" spans="1:57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</row>
    <row r="612" spans="1:57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</row>
    <row r="613" spans="1:57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</row>
    <row r="614" spans="1:57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</row>
    <row r="615" spans="1:57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</row>
    <row r="616" spans="1:57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</row>
    <row r="617" spans="1:5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</row>
    <row r="618" spans="1:57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</row>
    <row r="619" spans="1:57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</row>
    <row r="620" spans="1:57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</row>
    <row r="621" spans="1:57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</row>
    <row r="622" spans="1:57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</row>
    <row r="623" spans="1:57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</row>
    <row r="624" spans="1:57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</row>
    <row r="625" spans="1:57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</row>
    <row r="626" spans="1:57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</row>
    <row r="627" spans="1:5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</row>
    <row r="628" spans="1:57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</row>
    <row r="629" spans="1:57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</row>
    <row r="630" spans="1:57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</row>
    <row r="631" spans="1:57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</row>
    <row r="632" spans="1:57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</row>
    <row r="633" spans="1:57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</row>
    <row r="634" spans="1:57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</row>
    <row r="635" spans="1:57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</row>
    <row r="636" spans="1:57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</row>
    <row r="637" spans="1:5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</row>
    <row r="638" spans="1:57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</row>
    <row r="639" spans="1:57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</row>
    <row r="640" spans="1:57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</row>
    <row r="641" spans="1:57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</row>
    <row r="642" spans="1:57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</row>
    <row r="643" spans="1:57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</row>
    <row r="644" spans="1:57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</row>
    <row r="645" spans="1:57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</row>
    <row r="646" spans="1:57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</row>
    <row r="647" spans="1:5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</row>
    <row r="648" spans="1:57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</row>
    <row r="649" spans="1:57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</row>
    <row r="650" spans="1:57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</row>
    <row r="651" spans="1:57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</row>
    <row r="652" spans="1:57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</row>
    <row r="653" spans="1:57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</row>
    <row r="654" spans="1:57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</row>
    <row r="655" spans="1:57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</row>
    <row r="656" spans="1:57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</row>
    <row r="657" spans="1: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</row>
    <row r="658" spans="1:57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</row>
    <row r="659" spans="1:57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</row>
    <row r="660" spans="1:57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</row>
    <row r="661" spans="1:57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</row>
    <row r="662" spans="1:57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</row>
    <row r="663" spans="1:57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</row>
    <row r="664" spans="1:57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</row>
    <row r="665" spans="1:57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</row>
    <row r="666" spans="1:57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</row>
    <row r="667" spans="1:5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</row>
    <row r="668" spans="1:57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</row>
    <row r="669" spans="1:57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</row>
    <row r="670" spans="1:57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</row>
    <row r="671" spans="1:57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</row>
    <row r="672" spans="1:57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</row>
    <row r="673" spans="1:57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</row>
    <row r="674" spans="1:57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</row>
    <row r="675" spans="1:57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</row>
    <row r="676" spans="1:57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</row>
    <row r="677" spans="1:5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</row>
    <row r="678" spans="1:57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</row>
    <row r="679" spans="1:57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</row>
    <row r="680" spans="1:57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</row>
    <row r="681" spans="1:57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</row>
    <row r="682" spans="1:57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</row>
    <row r="683" spans="1:57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</row>
    <row r="684" spans="1:57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</row>
    <row r="685" spans="1:57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</row>
    <row r="686" spans="1:57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</row>
    <row r="687" spans="1:5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</row>
    <row r="688" spans="1:57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</row>
    <row r="689" spans="1:57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</row>
    <row r="690" spans="1:57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</row>
    <row r="691" spans="1:57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</row>
    <row r="692" spans="1:57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</row>
    <row r="693" spans="1:57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</row>
    <row r="694" spans="1:57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</row>
    <row r="695" spans="1:57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</row>
    <row r="696" spans="1:57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</row>
    <row r="697" spans="1:5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</row>
    <row r="698" spans="1:57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</row>
    <row r="699" spans="1:57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</row>
    <row r="700" spans="1:57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</row>
    <row r="701" spans="1:57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</row>
    <row r="702" spans="1:57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</row>
    <row r="703" spans="1:57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</row>
    <row r="704" spans="1:57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</row>
    <row r="705" spans="1:57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</row>
    <row r="706" spans="1:57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</row>
    <row r="707" spans="1:5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</row>
    <row r="708" spans="1:57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</row>
    <row r="709" spans="1:57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</row>
    <row r="710" spans="1:57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</row>
    <row r="711" spans="1:57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</row>
    <row r="712" spans="1:57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</row>
    <row r="713" spans="1:57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</row>
    <row r="714" spans="1:57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</row>
    <row r="715" spans="1:57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</row>
    <row r="716" spans="1:57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</row>
    <row r="717" spans="1:5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</row>
    <row r="718" spans="1:57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</row>
    <row r="719" spans="1:57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</row>
    <row r="720" spans="1:57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</row>
    <row r="721" spans="1:57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</row>
    <row r="722" spans="1:57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</row>
    <row r="723" spans="1:57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</row>
    <row r="724" spans="1:57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</row>
    <row r="725" spans="1:57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</row>
    <row r="726" spans="1:57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</row>
    <row r="727" spans="1:5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</row>
    <row r="728" spans="1:57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</row>
    <row r="729" spans="1:57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</row>
    <row r="730" spans="1:57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</row>
    <row r="731" spans="1:57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</row>
    <row r="732" spans="1:57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</row>
    <row r="733" spans="1:57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</row>
    <row r="734" spans="1:57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</row>
    <row r="735" spans="1:57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</row>
    <row r="736" spans="1:57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</row>
    <row r="737" spans="1:5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</row>
    <row r="738" spans="1:57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</row>
    <row r="739" spans="1:57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</row>
    <row r="740" spans="1:57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</row>
    <row r="741" spans="1:57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</row>
    <row r="742" spans="1:57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</row>
    <row r="743" spans="1:57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</row>
    <row r="744" spans="1:57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</row>
    <row r="745" spans="1:57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</row>
    <row r="746" spans="1:57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</row>
    <row r="747" spans="1:5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</row>
    <row r="748" spans="1:57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</row>
    <row r="749" spans="1:57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</row>
    <row r="750" spans="1:57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</row>
    <row r="751" spans="1:57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</row>
    <row r="752" spans="1:57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</row>
    <row r="753" spans="1:57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</row>
    <row r="754" spans="1:57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</row>
    <row r="755" spans="1:57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</row>
    <row r="756" spans="1:57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</row>
    <row r="757" spans="1: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</row>
    <row r="758" spans="1:57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</row>
    <row r="759" spans="1:57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</row>
    <row r="760" spans="1:57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</row>
    <row r="761" spans="1:57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</row>
    <row r="762" spans="1:57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</row>
    <row r="763" spans="1:57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</row>
    <row r="764" spans="1:57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</row>
    <row r="765" spans="1:57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</row>
    <row r="766" spans="1:57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</row>
    <row r="767" spans="1:5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</row>
    <row r="768" spans="1:57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</row>
    <row r="769" spans="1:57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</row>
    <row r="770" spans="1:57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</row>
    <row r="771" spans="1:57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</row>
    <row r="772" spans="1:57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</row>
    <row r="773" spans="1:57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</row>
    <row r="774" spans="1:57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</row>
    <row r="775" spans="1:57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</row>
    <row r="776" spans="1:57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</row>
    <row r="777" spans="1:5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</row>
    <row r="778" spans="1:57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</row>
    <row r="779" spans="1:57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</row>
    <row r="780" spans="1:57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</row>
    <row r="781" spans="1:57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</row>
    <row r="782" spans="1:57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</row>
    <row r="783" spans="1:57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</row>
    <row r="784" spans="1:57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</row>
    <row r="785" spans="1:57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</row>
    <row r="786" spans="1:57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</row>
    <row r="787" spans="1:5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</row>
    <row r="788" spans="1:57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</row>
    <row r="789" spans="1:57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</row>
    <row r="790" spans="1:57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</row>
    <row r="791" spans="1:57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</row>
    <row r="792" spans="1:57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</row>
    <row r="793" spans="1:57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</row>
    <row r="794" spans="1:57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</row>
    <row r="795" spans="1:57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</row>
    <row r="796" spans="1:57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</row>
    <row r="797" spans="1:5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</row>
    <row r="798" spans="1:57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</row>
    <row r="799" spans="1:57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</row>
    <row r="800" spans="1:57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</row>
    <row r="801" spans="1:57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</row>
    <row r="802" spans="1:57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</row>
    <row r="803" spans="1:57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</row>
    <row r="804" spans="1:57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</row>
    <row r="805" spans="1:57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</row>
    <row r="806" spans="1:57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</row>
    <row r="807" spans="1:5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</row>
    <row r="808" spans="1:57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</row>
    <row r="809" spans="1:57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</row>
    <row r="810" spans="1:57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</row>
    <row r="811" spans="1:57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</row>
    <row r="812" spans="1:57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</row>
    <row r="813" spans="1:57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</row>
    <row r="814" spans="1:57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</row>
    <row r="815" spans="1:57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</row>
    <row r="816" spans="1:57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</row>
    <row r="817" spans="1:5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</row>
    <row r="818" spans="1:57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</row>
    <row r="819" spans="1:57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</row>
    <row r="820" spans="1:57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</row>
    <row r="821" spans="1:57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</row>
    <row r="822" spans="1:57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</row>
    <row r="823" spans="1:57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</row>
    <row r="824" spans="1:57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</row>
    <row r="825" spans="1:57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</row>
    <row r="826" spans="1:57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</row>
    <row r="827" spans="1:5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</row>
    <row r="828" spans="1:57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</row>
    <row r="829" spans="1:57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</row>
    <row r="830" spans="1:57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</row>
    <row r="831" spans="1:57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</row>
    <row r="832" spans="1:57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</row>
    <row r="833" spans="1:57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</row>
    <row r="834" spans="1:57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</row>
    <row r="835" spans="1:57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</row>
    <row r="836" spans="1:57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</row>
    <row r="837" spans="1:5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</row>
    <row r="838" spans="1:57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</row>
    <row r="839" spans="1:57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</row>
    <row r="840" spans="1:57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</row>
    <row r="841" spans="1:57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</row>
    <row r="842" spans="1:57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</row>
    <row r="843" spans="1:57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</row>
    <row r="844" spans="1:57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</row>
    <row r="845" spans="1:57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</row>
    <row r="846" spans="1:57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</row>
    <row r="847" spans="1:5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</row>
    <row r="848" spans="1:57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</row>
    <row r="849" spans="1:57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</row>
    <row r="850" spans="1:57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</row>
    <row r="851" spans="1:57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</row>
    <row r="852" spans="1:57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</row>
    <row r="853" spans="1:57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</row>
    <row r="854" spans="1:57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</row>
    <row r="855" spans="1:57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</row>
    <row r="856" spans="1:57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</row>
    <row r="857" spans="1: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</row>
    <row r="858" spans="1:57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</row>
    <row r="859" spans="1:57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</row>
    <row r="860" spans="1:57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</row>
    <row r="861" spans="1:57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</row>
    <row r="862" spans="1:57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</row>
    <row r="863" spans="1:57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</row>
    <row r="864" spans="1:57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</row>
    <row r="865" spans="1:57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</row>
    <row r="866" spans="1:57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</row>
    <row r="867" spans="1:5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</row>
    <row r="868" spans="1:57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</row>
    <row r="869" spans="1:57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</row>
    <row r="870" spans="1:57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</row>
    <row r="871" spans="1:57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</row>
    <row r="872" spans="1:57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</row>
    <row r="873" spans="1:57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</row>
    <row r="874" spans="1:57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</row>
    <row r="875" spans="1:57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</row>
    <row r="876" spans="1:57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</row>
    <row r="877" spans="1:5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</row>
    <row r="878" spans="1:57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</row>
    <row r="879" spans="1:57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</row>
    <row r="880" spans="1:57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</row>
    <row r="881" spans="1:57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</row>
    <row r="882" spans="1:57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</row>
    <row r="883" spans="1:57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</row>
    <row r="884" spans="1:57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</row>
    <row r="885" spans="1:57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</row>
    <row r="886" spans="1:57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</row>
    <row r="887" spans="1:5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</row>
    <row r="888" spans="1:57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</row>
    <row r="889" spans="1:57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</row>
    <row r="890" spans="1:57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</row>
    <row r="891" spans="1:57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</row>
    <row r="892" spans="1:57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</row>
    <row r="893" spans="1:57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</row>
    <row r="894" spans="1:57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</row>
    <row r="895" spans="1:57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</row>
    <row r="896" spans="1:57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</row>
    <row r="897" spans="1:5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</row>
    <row r="898" spans="1:57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</row>
    <row r="899" spans="1:57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</row>
    <row r="900" spans="1:57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</row>
    <row r="901" spans="1:57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</row>
    <row r="902" spans="1:57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</row>
    <row r="903" spans="1:57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</row>
    <row r="904" spans="1:57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</row>
    <row r="905" spans="1:57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</row>
    <row r="906" spans="1:57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</row>
    <row r="907" spans="1:5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</row>
    <row r="908" spans="1:57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</row>
    <row r="909" spans="1:57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</row>
    <row r="910" spans="1:57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</row>
    <row r="911" spans="1:57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</row>
    <row r="912" spans="1:57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</row>
    <row r="913" spans="1:57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</row>
    <row r="914" spans="1:57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</row>
    <row r="915" spans="1:57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</row>
    <row r="916" spans="1:57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</row>
    <row r="917" spans="1:5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</row>
    <row r="918" spans="1:57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</row>
    <row r="919" spans="1:57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</row>
    <row r="920" spans="1:57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</row>
    <row r="921" spans="1:57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</row>
    <row r="922" spans="1:57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</row>
    <row r="923" spans="1:57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</row>
    <row r="924" spans="1:57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</row>
    <row r="925" spans="1:57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</row>
    <row r="926" spans="1:57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</row>
    <row r="927" spans="1:5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</row>
    <row r="928" spans="1:57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</row>
    <row r="929" spans="1:57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</row>
    <row r="930" spans="1:57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</row>
    <row r="931" spans="1:57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</row>
    <row r="932" spans="1:57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</row>
    <row r="933" spans="1:57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</row>
    <row r="934" spans="1:57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</row>
    <row r="935" spans="1:57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</row>
    <row r="936" spans="1:57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</row>
    <row r="937" spans="1:5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</row>
    <row r="938" spans="1:57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</row>
    <row r="939" spans="1:57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</row>
    <row r="940" spans="1:57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</row>
    <row r="941" spans="1:57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</row>
    <row r="942" spans="1:57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</row>
    <row r="943" spans="1:57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</row>
    <row r="944" spans="1:57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</row>
    <row r="945" spans="1:57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</row>
    <row r="946" spans="1:57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</row>
    <row r="947" spans="1:5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</row>
    <row r="948" spans="1:57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</row>
    <row r="949" spans="1:57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</row>
    <row r="950" spans="1:57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</row>
    <row r="951" spans="1:57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</row>
    <row r="952" spans="1:57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</row>
    <row r="953" spans="1:57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</row>
    <row r="954" spans="1:57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</row>
    <row r="955" spans="1:57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</row>
    <row r="956" spans="1:57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</row>
    <row r="957" spans="1: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</row>
    <row r="958" spans="1:57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</row>
    <row r="959" spans="1:57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</row>
    <row r="960" spans="1:57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</row>
    <row r="961" spans="1:57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</row>
    <row r="962" spans="1:57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</row>
    <row r="963" spans="1:57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</row>
    <row r="964" spans="1:57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</row>
    <row r="965" spans="1:57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</row>
    <row r="966" spans="1:57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</row>
    <row r="967" spans="1:5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</row>
    <row r="968" spans="1:57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</row>
    <row r="969" spans="1:57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</row>
    <row r="970" spans="1:57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</row>
    <row r="971" spans="1:57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</row>
    <row r="972" spans="1:57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</row>
    <row r="973" spans="1:57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</row>
    <row r="974" spans="1:57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</row>
    <row r="975" spans="1:57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</row>
    <row r="976" spans="1:57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</row>
    <row r="977" spans="1:5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</row>
    <row r="978" spans="1:57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</row>
    <row r="979" spans="1:57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</row>
    <row r="980" spans="1:57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</row>
    <row r="981" spans="1:57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</row>
    <row r="982" spans="1:57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</row>
    <row r="983" spans="1:57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</row>
    <row r="984" spans="1:57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</row>
    <row r="985" spans="1:57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</row>
    <row r="986" spans="1:57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</row>
    <row r="987" spans="1:5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</row>
    <row r="988" spans="1:57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</row>
    <row r="989" spans="1:57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</row>
    <row r="990" spans="1:57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</row>
    <row r="991" spans="1:57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</row>
    <row r="992" spans="1:57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</row>
    <row r="993" spans="1:57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</row>
    <row r="994" spans="1:57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</row>
    <row r="995" spans="1:57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</row>
    <row r="996" spans="1:57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</row>
    <row r="997" spans="1:5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</row>
    <row r="998" spans="1:57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</row>
    <row r="999" spans="1:57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</row>
    <row r="1000" spans="1:57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</row>
  </sheetData>
  <mergeCells count="99"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F12:AH12"/>
    <mergeCell ref="AI12:AJ12"/>
    <mergeCell ref="AK12:AL12"/>
    <mergeCell ref="AM12:AN12"/>
    <mergeCell ref="AI13:AJ13"/>
    <mergeCell ref="AK13:AL13"/>
    <mergeCell ref="AM13:AN13"/>
    <mergeCell ref="AO12:AS12"/>
    <mergeCell ref="AT12:BE12"/>
    <mergeCell ref="AI11:AJ11"/>
    <mergeCell ref="AK11:AL11"/>
    <mergeCell ref="AM11:AN11"/>
    <mergeCell ref="AO11:AS11"/>
    <mergeCell ref="AT11:BE11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1:AH11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9:AH9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7:AH7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B6:D6"/>
    <mergeCell ref="E6:M6"/>
    <mergeCell ref="N6:V6"/>
    <mergeCell ref="W6:AB6"/>
    <mergeCell ref="AC6:AE6"/>
    <mergeCell ref="AF5:AH5"/>
    <mergeCell ref="B5:D5"/>
    <mergeCell ref="E5:M5"/>
    <mergeCell ref="N5:V5"/>
    <mergeCell ref="W5:AB5"/>
    <mergeCell ref="AC5:AE5"/>
  </mergeCells>
  <phoneticPr fontId="12"/>
  <pageMargins left="0.70866141732283472" right="0.70866141732283472" top="0.74803149606299213" bottom="0.74803149606299213" header="0" footer="0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44</vt:i4>
      </vt:variant>
      <vt:variant>
        <vt:lpstr>名前付き一覧</vt:lpstr>
      </vt:variant>
      <vt:variant>
        <vt:i4>44</vt:i4>
      </vt:variant>
    </vt:vector>
  </HeadingPairs>
  <TitlesOfParts>
    <vt:vector size="88" baseType="lpstr">
      <vt:lpstr>表紙</vt:lpstr>
      <vt:lpstr>変更履歴</vt:lpstr>
      <vt:lpstr>テーブル一覧</vt:lpstr>
      <vt:lpstr>◆部署別得意先</vt:lpstr>
      <vt:lpstr>見積</vt:lpstr>
      <vt:lpstr>見積書発行履歴</vt:lpstr>
      <vt:lpstr>作業部門別見積</vt:lpstr>
      <vt:lpstr>受注</vt:lpstr>
      <vt:lpstr>作業部門別受注金額</vt:lpstr>
      <vt:lpstr>◆工番関連</vt:lpstr>
      <vt:lpstr>部署別受注計画</vt:lpstr>
      <vt:lpstr>部署別売上計画</vt:lpstr>
      <vt:lpstr>受注週報集計明細</vt:lpstr>
      <vt:lpstr>受注週報集計累計</vt:lpstr>
      <vt:lpstr>作業手配</vt:lpstr>
      <vt:lpstr>社内受注管理</vt:lpstr>
      <vt:lpstr>社内売上管理</vt:lpstr>
      <vt:lpstr>社内仕入履歴</vt:lpstr>
      <vt:lpstr>作業部門別基準価格</vt:lpstr>
      <vt:lpstr>製品発送費基準価格</vt:lpstr>
      <vt:lpstr>作業部門別売上</vt:lpstr>
      <vt:lpstr>製品発送費売上</vt:lpstr>
      <vt:lpstr>諸経費売上</vt:lpstr>
      <vt:lpstr>営業部署別売上</vt:lpstr>
      <vt:lpstr>担当者別売上</vt:lpstr>
      <vt:lpstr>売掛金</vt:lpstr>
      <vt:lpstr>前受金</vt:lpstr>
      <vt:lpstr>得意先別前受金残高</vt:lpstr>
      <vt:lpstr>得意先別前受金消込履歴</vt:lpstr>
      <vt:lpstr>納品</vt:lpstr>
      <vt:lpstr>納品明細</vt:lpstr>
      <vt:lpstr>納品書発行履歴</vt:lpstr>
      <vt:lpstr>納品書データ出力履歴</vt:lpstr>
      <vt:lpstr>請求</vt:lpstr>
      <vt:lpstr>請求明細</vt:lpstr>
      <vt:lpstr>請求書発行履歴</vt:lpstr>
      <vt:lpstr>得意先別発送費</vt:lpstr>
      <vt:lpstr>得意先別発送費更新履歴</vt:lpstr>
      <vt:lpstr>月次処理日データ</vt:lpstr>
      <vt:lpstr>製品在庫金額集計</vt:lpstr>
      <vt:lpstr>仕掛在庫金額</vt:lpstr>
      <vt:lpstr>計画値取込</vt:lpstr>
      <vt:lpstr>得意先別倉庫料</vt:lpstr>
      <vt:lpstr>月別発送費</vt:lpstr>
      <vt:lpstr>◆工番関連!Print_Area</vt:lpstr>
      <vt:lpstr>◆部署別得意先!Print_Area</vt:lpstr>
      <vt:lpstr>テーブル一覧!Print_Area</vt:lpstr>
      <vt:lpstr>営業部署別売上!Print_Area</vt:lpstr>
      <vt:lpstr>計画値取込!Print_Area</vt:lpstr>
      <vt:lpstr>月次処理日データ!Print_Area</vt:lpstr>
      <vt:lpstr>月別発送費!Print_Area</vt:lpstr>
      <vt:lpstr>見積!Print_Area</vt:lpstr>
      <vt:lpstr>見積書発行履歴!Print_Area</vt:lpstr>
      <vt:lpstr>作業手配!Print_Area</vt:lpstr>
      <vt:lpstr>作業部門別基準価格!Print_Area</vt:lpstr>
      <vt:lpstr>作業部門別見積!Print_Area</vt:lpstr>
      <vt:lpstr>作業部門別受注金額!Print_Area</vt:lpstr>
      <vt:lpstr>作業部門別売上!Print_Area</vt:lpstr>
      <vt:lpstr>仕掛在庫金額!Print_Area</vt:lpstr>
      <vt:lpstr>社内仕入履歴!Print_Area</vt:lpstr>
      <vt:lpstr>社内受注管理!Print_Area</vt:lpstr>
      <vt:lpstr>社内売上管理!Print_Area</vt:lpstr>
      <vt:lpstr>受注!Print_Area</vt:lpstr>
      <vt:lpstr>受注週報集計明細!Print_Area</vt:lpstr>
      <vt:lpstr>受注週報集計累計!Print_Area</vt:lpstr>
      <vt:lpstr>諸経費売上!Print_Area</vt:lpstr>
      <vt:lpstr>製品在庫金額集計!Print_Area</vt:lpstr>
      <vt:lpstr>製品発送費基準価格!Print_Area</vt:lpstr>
      <vt:lpstr>製品発送費売上!Print_Area</vt:lpstr>
      <vt:lpstr>請求!Print_Area</vt:lpstr>
      <vt:lpstr>請求書発行履歴!Print_Area</vt:lpstr>
      <vt:lpstr>請求明細!Print_Area</vt:lpstr>
      <vt:lpstr>前受金!Print_Area</vt:lpstr>
      <vt:lpstr>担当者別売上!Print_Area</vt:lpstr>
      <vt:lpstr>得意先別前受金残高!Print_Area</vt:lpstr>
      <vt:lpstr>得意先別前受金消込履歴!Print_Area</vt:lpstr>
      <vt:lpstr>得意先別倉庫料!Print_Area</vt:lpstr>
      <vt:lpstr>得意先別発送費!Print_Area</vt:lpstr>
      <vt:lpstr>得意先別発送費更新履歴!Print_Area</vt:lpstr>
      <vt:lpstr>納品!Print_Area</vt:lpstr>
      <vt:lpstr>納品書データ出力履歴!Print_Area</vt:lpstr>
      <vt:lpstr>納品書発行履歴!Print_Area</vt:lpstr>
      <vt:lpstr>納品明細!Print_Area</vt:lpstr>
      <vt:lpstr>売掛金!Print_Area</vt:lpstr>
      <vt:lpstr>表紙!Print_Area</vt:lpstr>
      <vt:lpstr>部署別受注計画!Print_Area</vt:lpstr>
      <vt:lpstr>部署別売上計画!Print_Area</vt:lpstr>
      <vt:lpstr>変更履歴!Print_Area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栄幸祐</dc:creator>
  <cp:lastModifiedBy>栄幸祐</cp:lastModifiedBy>
  <cp:lastPrinted>2026-01-08T06:54:27Z</cp:lastPrinted>
  <dcterms:created xsi:type="dcterms:W3CDTF">2015-06-05T18:19:34Z</dcterms:created>
  <dcterms:modified xsi:type="dcterms:W3CDTF">2026-02-02T05:01:58Z</dcterms:modified>
</cp:coreProperties>
</file>